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Huong dan" sheetId="1" state="visible" r:id="rId3"/>
    <sheet name="01_Cau hoi khach" sheetId="2" state="visible" r:id="rId4"/>
    <sheet name="02_Function list" sheetId="3" state="visible" r:id="rId5"/>
    <sheet name="03_Feature list" sheetId="4" state="visible" r:id="rId6"/>
    <sheet name="04_Man hinh" sheetId="5" state="visible" r:id="rId7"/>
    <sheet name="05_User stories" sheetId="6" state="visible" r:id="rId8"/>
    <sheet name="06_Estimate-WBS" sheetId="7" state="visible" r:id="rId9"/>
    <sheet name="07_Cost sheet" sheetId="8" state="visible" r:id="rId10"/>
    <sheet name="08_Rui r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<sst xmlns="http://schemas.openxmlformats.org/spreadsheetml/2006/main" count="1214" uniqueCount="780">
  <si>
    <t xml:space="preserve">Yuki Cold-Chain Management System (YCCMS) — Gói Estimation &amp; Phân tích (LAB-1)</t>
  </si>
  <si>
    <r>
      <rPr>
        <i val="true"/>
        <sz val="9"/>
        <color rgb="FF333333"/>
        <rFont val="Arial"/>
        <family val="0"/>
        <charset val="1"/>
      </rPr>
      <t xml:space="preserve">Khách: Công ty CP Logistics Lạnh Yuki (</t>
    </r>
    <r>
      <rPr>
        <i val="true"/>
        <sz val="9"/>
        <color rgb="FF333333"/>
        <rFont val="Noto Sans CJK SC"/>
        <family val="2"/>
      </rPr>
      <t xml:space="preserve">株式会社ユキ冷蔵ロジスティクス</t>
    </r>
    <r>
      <rPr>
        <i val="true"/>
        <sz val="9"/>
        <color rgb="FF333333"/>
        <rFont val="Arial"/>
        <family val="0"/>
        <charset val="1"/>
      </rPr>
      <t xml:space="preserve">)  |  Vendor: Sun* (Sun Asterisk) — Sun VN02  |  PL: Thanh Ta  |  2026-10-02  |  v1.0 (gói đề xuất LAB-1)</t>
    </r>
  </si>
  <si>
    <t xml:space="preserve">#</t>
  </si>
  <si>
    <t xml:space="preserve">Sheet</t>
  </si>
  <si>
    <t xml:space="preserve">Nội dung / Sản phẩm nộp</t>
  </si>
  <si>
    <t xml:space="preserve">1</t>
  </si>
  <si>
    <t xml:space="preserve">01_Cau hoi khach</t>
  </si>
  <si>
    <t xml:space="preserve">Danh sách câu hỏi gửi khách (phân loại chặn báo giá / hỏi sau + giả định + ảnh hưởng estimate)</t>
  </si>
  <si>
    <t xml:space="preserve">2</t>
  </si>
  <si>
    <t xml:space="preserve">02_Function list</t>
  </si>
  <si>
    <t xml:space="preserve">Nhóm chức năng mức hệ thống (14 nhóm)</t>
  </si>
  <si>
    <t xml:space="preserve">3</t>
  </si>
  <si>
    <t xml:space="preserve">03_Feature list</t>
  </si>
  <si>
    <t xml:space="preserve">Tính năng cụ thể (59 feature), mỗi feature gắn đúng 1 function</t>
  </si>
  <si>
    <t xml:space="preserve">4</t>
  </si>
  <si>
    <t xml:space="preserve">04_Man hinh</t>
  </si>
  <si>
    <t xml:space="preserve">Danh sách màn hình (43 màn hình) — đầu vào LAB-2/3</t>
  </si>
  <si>
    <t xml:space="preserve">5</t>
  </si>
  <si>
    <t xml:space="preserve">05_User stories</t>
  </si>
  <si>
    <t xml:space="preserve">User stories cho tính năng cốt lõi (16 stories) + acceptance criteria</t>
  </si>
  <si>
    <t xml:space="preserve">6</t>
  </si>
  <si>
    <t xml:space="preserve">06_Estimate-WBS</t>
  </si>
  <si>
    <t xml:space="preserve">Estimate effort + WBS theo tiền đề giả định (có công thức)</t>
  </si>
  <si>
    <t xml:space="preserve">7</t>
  </si>
  <si>
    <t xml:space="preserve">07_Cost sheet</t>
  </si>
  <si>
    <t xml:space="preserve">Đội hình + chi phí (giả định đơn giá tham khảo)</t>
  </si>
  <si>
    <t xml:space="preserve">8</t>
  </si>
  <si>
    <t xml:space="preserve">08_Rui ro</t>
  </si>
  <si>
    <t xml:space="preserve">Rủi ro sơ bộ (gồm bẫy đọc-hiểu nghiệp vụ Nhật)</t>
  </si>
  <si>
    <t xml:space="preserve">GHI CHÚ ĐỌC-HIỂU NGHIỆP VỤ (bẫy đặc thù Nhật)</t>
  </si>
  <si>
    <t xml:space="preserve">⚠</t>
  </si>
  <si>
    <t xml:space="preserve">Ngưỡng 3 dải nhiệt do công ty TỰ công bố</t>
  </si>
  <si>
    <t xml:space="preserve">Thường/Mát/Đông: mỗi công ty logistics tự công bố ngưỡng riêng. KHÔNG suy theo chuẩn chung — ngưỡng phải cấu hình được theo cấu hình của Yuki.</t>
  </si>
  <si>
    <t xml:space="preserve">Hai loại 'hạn dùng' khác bản chất pháp lý</t>
  </si>
  <si>
    <r>
      <rPr>
        <sz val="10"/>
        <rFont val="Noto Sans CJK SC"/>
        <family val="2"/>
      </rPr>
      <t xml:space="preserve">賞味期限 </t>
    </r>
    <r>
      <rPr>
        <sz val="10"/>
        <rFont val="Arial"/>
        <family val="0"/>
        <charset val="1"/>
      </rPr>
      <t xml:space="preserve">(hạn NGON NHẤT / best-before) ≠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(hạn TIÊU THỤ AN TOÀN / use-by). Xử lý &amp; cảnh báo khác nhau; cấu hình theo từng SKU.</t>
    </r>
  </si>
  <si>
    <r>
      <rPr>
        <sz val="10"/>
        <rFont val="Noto Sans CJK SC"/>
        <family val="2"/>
      </rPr>
      <t xml:space="preserve">日付逆転禁止 </t>
    </r>
    <r>
      <rPr>
        <sz val="10"/>
        <rFont val="Arial"/>
        <family val="0"/>
        <charset val="1"/>
      </rPr>
      <t xml:space="preserve">so theo LỊCH SỬ từng khách</t>
    </r>
  </si>
  <si>
    <t xml:space="preserve">Cấm giao lô có hạn dùng cũ hơn lô đã giao trước đó cho CÙNG một khách — so theo lịch sử giao dịch của từng khách, KHÔNG so tĩnh với ngày hôm nay.</t>
  </si>
  <si>
    <t xml:space="preserve">Quy tắc thương mại 1/3, 1/2 ≠ hạn dùng thực</t>
  </si>
  <si>
    <r>
      <rPr>
        <sz val="10"/>
        <rFont val="Noto Sans CJK SC"/>
        <family val="2"/>
      </rPr>
      <t xml:space="preserve">三分の一ルール</t>
    </r>
    <r>
      <rPr>
        <sz val="10"/>
        <rFont val="Arial"/>
        <family val="0"/>
        <charset val="1"/>
      </rPr>
      <t xml:space="preserve">: giao cho retailer trong 1/3 đầu hạn </t>
    </r>
    <r>
      <rPr>
        <sz val="10"/>
        <rFont val="Noto Sans CJK SC"/>
        <family val="2"/>
      </rPr>
      <t xml:space="preserve">賞味期限</t>
    </r>
    <r>
      <rPr>
        <sz val="10"/>
        <rFont val="Arial"/>
        <family val="0"/>
        <charset val="1"/>
      </rPr>
      <t xml:space="preserve">, bán trong 2/3. Đây là tập quán thương mại (</t>
    </r>
    <r>
      <rPr>
        <sz val="10"/>
        <rFont val="Noto Sans CJK SC"/>
        <family val="2"/>
      </rPr>
      <t xml:space="preserve">納品期限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販売期限</t>
    </r>
    <r>
      <rPr>
        <sz val="10"/>
        <rFont val="Arial"/>
        <family val="0"/>
        <charset val="1"/>
      </rPr>
      <t xml:space="preserve">), KHÔNG phải thời hạn sử dụng thực tế. Một số retailer đã nới sang 1/2.</t>
    </r>
  </si>
  <si>
    <t xml:space="preserve">Truy xuất nguồn gốc: chỉ GẠO &amp; THỊT BÒ bắt buộc theo luật</t>
  </si>
  <si>
    <r>
      <rPr>
        <sz val="10"/>
        <rFont val="Noto Sans CJK SC"/>
        <family val="2"/>
      </rPr>
      <t xml:space="preserve">米トレーサビリティ法 </t>
    </r>
    <r>
      <rPr>
        <sz val="10"/>
        <rFont val="Arial"/>
        <family val="0"/>
        <charset val="1"/>
      </rPr>
      <t xml:space="preserve">(gạo) và </t>
    </r>
    <r>
      <rPr>
        <sz val="10"/>
        <rFont val="Noto Sans CJK SC"/>
        <family val="2"/>
      </rPr>
      <t xml:space="preserve">牛トレーサビリティ法 </t>
    </r>
    <r>
      <rPr>
        <sz val="10"/>
        <rFont val="Arial"/>
        <family val="0"/>
        <charset val="1"/>
      </rPr>
      <t xml:space="preserve">(thịt bò) bắt buộc; các mặt hàng khác chỉ khuyến khích. Không over-engineer truy xuất bắt buộc cho toàn bộ SKU.</t>
    </r>
  </si>
  <si>
    <t xml:space="preserve">Ràng buộc giờ lái 2024 dễ bị bỏ sót khi thiết kế lập lịch</t>
  </si>
  <si>
    <r>
      <rPr>
        <sz val="10"/>
        <rFont val="Arial"/>
        <family val="0"/>
        <charset val="1"/>
      </rPr>
      <t xml:space="preserve">Lập lịch phải kiểm 960h/năm + </t>
    </r>
    <r>
      <rPr>
        <sz val="10"/>
        <rFont val="Noto Sans CJK SC"/>
        <family val="2"/>
      </rPr>
      <t xml:space="preserve">拘束時間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連続運転時間 </t>
    </r>
    <r>
      <rPr>
        <sz val="10"/>
        <rFont val="Arial"/>
        <family val="0"/>
        <charset val="1"/>
      </rPr>
      <t xml:space="preserve">+ nghỉ giữa ca. Bỏ sót = lịch vi phạm luật.</t>
    </r>
  </si>
  <si>
    <t xml:space="preserve">Chú thích màu</t>
  </si>
  <si>
    <t xml:space="preserve">Ô NỀN VÀNG = ô nhập liệu (giả định có thể chỉnh); chữ XANH = input; chữ đen = công thức.</t>
  </si>
  <si>
    <t xml:space="preserve">Deliverable 1 — Danh sách câu hỏi gửi khách</t>
  </si>
  <si>
    <t xml:space="preserve">Phân biệt câu hỏi CHẶN BÁO GIÁ vs HỎI SAU; mỗi câu kèm giả định đang dùng và ảnh hưởng estimate.</t>
  </si>
  <si>
    <t xml:space="preserve">ID</t>
  </si>
  <si>
    <t xml:space="preserve">Chủ đề</t>
  </si>
  <si>
    <t xml:space="preserve">Câu hỏi gửi khách</t>
  </si>
  <si>
    <t xml:space="preserve">Loại</t>
  </si>
  <si>
    <t xml:space="preserve">Giả định hiện tại (nếu khách chưa trả lời)</t>
  </si>
  <si>
    <t xml:space="preserve">Ảnh hưởng tới estimate nếu đáp án khác</t>
  </si>
  <si>
    <t xml:space="preserve">Q-01</t>
  </si>
  <si>
    <t xml:space="preserve">Phạm vi lập lịch</t>
  </si>
  <si>
    <r>
      <rPr>
        <sz val="10"/>
        <rFont val="Arial"/>
        <family val="0"/>
        <charset val="1"/>
      </rPr>
      <t xml:space="preserve">Hệ thống chỉ cần KIỂM TRA ràng buộc giờ lái (960h/</t>
    </r>
    <r>
      <rPr>
        <sz val="10"/>
        <rFont val="Noto Sans CJK SC"/>
        <family val="2"/>
      </rPr>
      <t xml:space="preserve">拘束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連続運転</t>
    </r>
    <r>
      <rPr>
        <sz val="10"/>
        <rFont val="Arial"/>
        <family val="0"/>
        <charset val="1"/>
      </rPr>
      <t xml:space="preserve">) hay cần TỐI ƯU tuyến tự động (routing optimization)?</t>
    </r>
  </si>
  <si>
    <t xml:space="preserve">Chặn báo giá</t>
  </si>
  <si>
    <t xml:space="preserve">Giả định: chỉ kiểm tra ràng buộc + gán tuyến thủ công; tối ưu tuyến là Phase 2.</t>
  </si>
  <si>
    <t xml:space="preserve">Tối ưu tuyến tự động tăng ~25–40 MD và cần thư viện/solver → đội giá rõ rệt.</t>
  </si>
  <si>
    <t xml:space="preserve">Q-02</t>
  </si>
  <si>
    <t xml:space="preserve">Tích hợp data logger</t>
  </si>
  <si>
    <t xml:space="preserve">Dữ liệu nhiệt độ lấy qua API thiết bị hay chỉ file CSV? Có bao nhiêu loại logger/định dạng?</t>
  </si>
  <si>
    <t xml:space="preserve">Giả định: import CSV 1 định dạng chuẩn hóa được.</t>
  </si>
  <si>
    <t xml:space="preserve">Nhiều định dạng / API realtime → +8–20 MD cho adapter &amp; hạ tầng.</t>
  </si>
  <si>
    <t xml:space="preserve">Q-03</t>
  </si>
  <si>
    <t xml:space="preserve">Tích hợp đơn hàng</t>
  </si>
  <si>
    <r>
      <rPr>
        <sz val="10"/>
        <rFont val="Arial"/>
        <family val="0"/>
        <charset val="1"/>
      </rPr>
      <t xml:space="preserve">Đơn từ retailer nhập tay, qua CSV, hay qua EDI? Nếu EDI thì chuẩn nào (</t>
    </r>
    <r>
      <rPr>
        <sz val="10"/>
        <rFont val="Noto Sans CJK SC"/>
        <family val="2"/>
      </rPr>
      <t xml:space="preserve">流通</t>
    </r>
    <r>
      <rPr>
        <sz val="10"/>
        <rFont val="Arial"/>
        <family val="0"/>
        <charset val="1"/>
      </rPr>
      <t xml:space="preserve">BMS…)?</t>
    </r>
  </si>
  <si>
    <t xml:space="preserve">Giả định: nhập tay + import CSV; EDI là tùy chọn Phase 2.</t>
  </si>
  <si>
    <t xml:space="preserve">EDI thật (mapping từng retailer) → +15–40 MD tùy số đối tác.</t>
  </si>
  <si>
    <t xml:space="preserve">Q-04</t>
  </si>
  <si>
    <t xml:space="preserve">Hạ tầng triển khai</t>
  </si>
  <si>
    <t xml:space="preserve">Cloud (được phép?) hay bắt buộc on-premise? Có ràng buộc lưu dữ liệu trong nước Nhật?</t>
  </si>
  <si>
    <t xml:space="preserve">Giả định: cloud (vùng Nhật), được phép.</t>
  </si>
  <si>
    <t xml:space="preserve">On-prem → +chi phí hạ tầng/vận hành &amp; thời gian setup.</t>
  </si>
  <si>
    <t xml:space="preserve">Q-05</t>
  </si>
  <si>
    <t xml:space="preserve">Quy tắc 1/3 – 1/2</t>
  </si>
  <si>
    <t xml:space="preserve">Mỗi retailer áp quy tắc 1/3 hay 1/2 khác nhau? Cần cấu hình theo từng khách/SKU không?</t>
  </si>
  <si>
    <t xml:space="preserve">Giả định: cấu hình theo khách + nhóm hàng (mặc định 1/3).</t>
  </si>
  <si>
    <t xml:space="preserve">Nếu quy tắc phức tạp theo SKU×khách → +5–8 MD cho cấu hình &amp; kiểm thử.</t>
  </si>
  <si>
    <t xml:space="preserve">Q-06</t>
  </si>
  <si>
    <t xml:space="preserve">Phạm vi truy xuất</t>
  </si>
  <si>
    <t xml:space="preserve">Ngoài gạo &amp; thịt bò (bắt buộc), Yuki muốn truy xuất tùy chọn cho nhóm nào?</t>
  </si>
  <si>
    <t xml:space="preserve">Hỏi sau</t>
  </si>
  <si>
    <t xml:space="preserve">Giả định: bắt buộc cho gạo/bò; tùy chọn cho thịt/cá.</t>
  </si>
  <si>
    <t xml:space="preserve">Mở rộng truy xuất toàn bộ SKU → +5–10 MD.</t>
  </si>
  <si>
    <t xml:space="preserve">Q-07</t>
  </si>
  <si>
    <t xml:space="preserve">Di trú dữ liệu</t>
  </si>
  <si>
    <r>
      <rPr>
        <sz val="10"/>
        <rFont val="Arial"/>
        <family val="0"/>
        <charset val="1"/>
      </rPr>
      <t xml:space="preserve">Khối lượng &amp; chất lượng dữ liệu Excel/phần mềm cũ? Có cần migrate lịch sử giao (phục vụ </t>
    </r>
    <r>
      <rPr>
        <sz val="10"/>
        <rFont val="Noto Sans CJK SC"/>
        <family val="2"/>
      </rPr>
      <t xml:space="preserve">日付逆転</t>
    </r>
    <r>
      <rPr>
        <sz val="10"/>
        <rFont val="Arial"/>
        <family val="0"/>
        <charset val="1"/>
      </rPr>
      <t xml:space="preserve">) không?</t>
    </r>
  </si>
  <si>
    <t xml:space="preserve">Giả định: migrate master + tồn hiện tại + 6–12 tháng lịch sử giao.</t>
  </si>
  <si>
    <t xml:space="preserve">Dữ liệu bẩn / lịch sử dài → +5–15 MD làm sạch &amp; đối soát.</t>
  </si>
  <si>
    <t xml:space="preserve">Q-08</t>
  </si>
  <si>
    <t xml:space="preserve">Ngân sách &amp; timeline</t>
  </si>
  <si>
    <t xml:space="preserve">Khoảng ngân sách và mốc go-live mong muốn (tránh/đón mùa cao điểm T12)?</t>
  </si>
  <si>
    <t xml:space="preserve">Giả định: go-live trước T12; phân kỳ Phase 1/2.</t>
  </si>
  <si>
    <t xml:space="preserve">Timeline gấp → tăng đội hình/chi phí hoặc giảm phạm vi Phase 1.</t>
  </si>
  <si>
    <t xml:space="preserve">Q-09</t>
  </si>
  <si>
    <t xml:space="preserve">Thiết bị kho</t>
  </si>
  <si>
    <t xml:space="preserve">Nhân viên kho dùng máy tính, máy quét mã vạch/handy terminal hay tablet? Có cần offline?</t>
  </si>
  <si>
    <t xml:space="preserve">Giả định: web responsive + máy quét USB/Bluetooth; không offline.</t>
  </si>
  <si>
    <t xml:space="preserve">App handy-terminal/offline-sync riêng → +20–35 MD.</t>
  </si>
  <si>
    <t xml:space="preserve">Q-10</t>
  </si>
  <si>
    <t xml:space="preserve">Ghi chép HACCP</t>
  </si>
  <si>
    <t xml:space="preserve">Yuki đã có bộ CCP/biểu mẫu HACCP chuẩn hóa chưa, hay cần tư vấn thiết kế biểu mẫu?</t>
  </si>
  <si>
    <t xml:space="preserve">Giả định: Yuki cung cấp bộ CCP; hệ thống số hóa theo mẫu.</t>
  </si>
  <si>
    <t xml:space="preserve">Tư vấn/thiết kế HACCP từ đầu → +BA effort.</t>
  </si>
  <si>
    <t xml:space="preserve">Q-11</t>
  </si>
  <si>
    <t xml:space="preserve">Vai trò &amp; phân quyền</t>
  </si>
  <si>
    <t xml:space="preserve">Có bao nhiêu nhóm vai trò (kho, giao vận, QA/HACCP, quản lý, admin)?</t>
  </si>
  <si>
    <t xml:space="preserve">Giả định: 5 vai trò.</t>
  </si>
  <si>
    <t xml:space="preserve">Nhiều vai trò/ma trận quyền phức tạp → +3–6 MD.</t>
  </si>
  <si>
    <t xml:space="preserve">Q-12</t>
  </si>
  <si>
    <t xml:space="preserve">Ngôn ngữ</t>
  </si>
  <si>
    <t xml:space="preserve">Giao diện chỉ tiếng Nhật, hay cần song ngữ JP/EN (và tài liệu)?</t>
  </si>
  <si>
    <t xml:space="preserve">Giả định: JP là chính, EN tùy chọn.</t>
  </si>
  <si>
    <t xml:space="preserve">Đa ngôn ngữ đầy đủ → +3–6 MD i18n &amp; QA.</t>
  </si>
  <si>
    <t xml:space="preserve">Q-13</t>
  </si>
  <si>
    <t xml:space="preserve">Báo cáo</t>
  </si>
  <si>
    <t xml:space="preserve">Danh mục báo cáo bắt buộc nộp cơ quan/đối tác (HACCP, nhiệt độ, truy xuất) gồm những gì?</t>
  </si>
  <si>
    <t xml:space="preserve">Giả định: bộ báo cáo chuẩn (nhập/xuất/tồn, HACCP, nhiệt độ, truy xuất, giờ lái).</t>
  </si>
  <si>
    <t xml:space="preserve">Báo cáo tùy biến nhiều → +MD theo số lượng.</t>
  </si>
  <si>
    <t xml:space="preserve">Q-14</t>
  </si>
  <si>
    <t xml:space="preserve">Xe &amp; dải nhiệt</t>
  </si>
  <si>
    <t xml:space="preserve">Xe có phân loại theo dải nhiệt (xe đông/mát)? Cần kiểm tra khớp dải nhiệt hàng↔xe khi gán không?</t>
  </si>
  <si>
    <t xml:space="preserve">Giả định: có; kiểm tra khớp dải nhiệt khi gán xe.</t>
  </si>
  <si>
    <t xml:space="preserve">Ràng buộc đa dải nhiệt/xe nhiều khoang → +3–5 MD.</t>
  </si>
  <si>
    <t xml:space="preserve">Q-15</t>
  </si>
  <si>
    <t xml:space="preserve">SSO / tài khoản</t>
  </si>
  <si>
    <t xml:space="preserve">Có yêu cầu SSO (Azure AD/Google) hay quản lý tài khoản nội bộ là đủ?</t>
  </si>
  <si>
    <t xml:space="preserve">Giả định: tài khoản nội bộ.</t>
  </si>
  <si>
    <t xml:space="preserve">SSO/SAML → +3–5 MD.</t>
  </si>
  <si>
    <t xml:space="preserve">Q-16</t>
  </si>
  <si>
    <t xml:space="preserve">Vận hành &amp; bảo trì</t>
  </si>
  <si>
    <t xml:space="preserve">Có cần Sun* vận hành/bảo trì (SLA, trực) sau go-live không?</t>
  </si>
  <si>
    <t xml:space="preserve">Giả định: bảo hành 2 tháng + gói bảo trì tùy chọn.</t>
  </si>
  <si>
    <t xml:space="preserve">SLA 24/7 → chi phí vận hành định kỳ riêng.</t>
  </si>
  <si>
    <t xml:space="preserve">Deliverable 2 — Function list (nhóm chức năng mức hệ thống)</t>
  </si>
  <si>
    <t xml:space="preserve">14 nhóm chức năng theo đúng phạm vi đề.</t>
  </si>
  <si>
    <t xml:space="preserve">Nhóm chức năng</t>
  </si>
  <si>
    <t xml:space="preserve">Mục đích / phạm vi</t>
  </si>
  <si>
    <t xml:space="preserve">F01</t>
  </si>
  <si>
    <t xml:space="preserve">Quản lý danh mục &amp; master</t>
  </si>
  <si>
    <t xml:space="preserve">Nhà cung cấp, khách/điểm giao, xe, tài xế, tuyến, nhóm hàng.</t>
  </si>
  <si>
    <t xml:space="preserve">F02</t>
  </si>
  <si>
    <t xml:space="preserve">Quản lý kho 3 dải nhiệt &amp; vị trí</t>
  </si>
  <si>
    <t xml:space="preserve">Cấu hình dải nhiệt (tự công bố), ngưỡng, sơ đồ vị trí/kệ theo khu.</t>
  </si>
  <si>
    <t xml:space="preserve">F03</t>
  </si>
  <si>
    <t xml:space="preserve">Sản phẩm, lô &amp; hạn dùng</t>
  </si>
  <si>
    <r>
      <rPr>
        <sz val="10"/>
        <rFont val="Arial"/>
        <family val="0"/>
        <charset val="1"/>
      </rPr>
      <t xml:space="preserve">SKU, lô, 2 loại hạn (</t>
    </r>
    <r>
      <rPr>
        <sz val="10"/>
        <rFont val="Noto Sans CJK SC"/>
        <family val="2"/>
      </rPr>
      <t xml:space="preserve">賞味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消費</t>
    </r>
    <r>
      <rPr>
        <sz val="10"/>
        <rFont val="Arial"/>
        <family val="0"/>
        <charset val="1"/>
      </rPr>
      <t xml:space="preserve">), cấu hình quy tắc 1/3–1/2, cờ truy xuất bắt buộc.</t>
    </r>
  </si>
  <si>
    <t xml:space="preserve">F04</t>
  </si>
  <si>
    <t xml:space="preserve">Nhập kho &amp; kiểm hàng (Inbound)</t>
  </si>
  <si>
    <t xml:space="preserve">Phiếu nhập, kiểm &amp; ghi nhiệt lúc nhận, ghi lô/hạn, gợi ý vị trí lưu.</t>
  </si>
  <si>
    <t xml:space="preserve">F05</t>
  </si>
  <si>
    <t xml:space="preserve">Xuất kho &amp; kiểm soát giao hàng (Outbound)</t>
  </si>
  <si>
    <r>
      <rPr>
        <sz val="10"/>
        <rFont val="Arial"/>
        <family val="0"/>
        <charset val="1"/>
      </rPr>
      <t xml:space="preserve">Đơn xuất, FIFO, chặn </t>
    </r>
    <r>
      <rPr>
        <sz val="10"/>
        <rFont val="Noto Sans CJK SC"/>
        <family val="2"/>
      </rPr>
      <t xml:space="preserve">日付逆転</t>
    </r>
    <r>
      <rPr>
        <sz val="10"/>
        <rFont val="Arial"/>
        <family val="0"/>
        <charset val="1"/>
      </rPr>
      <t xml:space="preserve">, cảnh báo 1/3, ghi nhiệt khi giao, phiếu xuất.</t>
    </r>
  </si>
  <si>
    <t xml:space="preserve">F06</t>
  </si>
  <si>
    <t xml:space="preserve">Quản lý tồn kho</t>
  </si>
  <si>
    <t xml:space="preserve">Tồn theo SKU/lô/vị trí/dải nhiệt, cảnh báo cận hạn, kiểm kê, điều chuyển.</t>
  </si>
  <si>
    <t xml:space="preserve">F07</t>
  </si>
  <si>
    <t xml:space="preserve">Giám sát nhiệt độ &amp; chuỗi lạnh</t>
  </si>
  <si>
    <t xml:space="preserve">Import CSV logger, dashboard nhiệt, cảnh báo lệch ngưỡng &amp; nhật ký sự cố.</t>
  </si>
  <si>
    <t xml:space="preserve">F08</t>
  </si>
  <si>
    <t xml:space="preserve">Tuân thủ HACCP &amp; ghi chép</t>
  </si>
  <si>
    <t xml:space="preserve">CCP, biểu mẫu, nhật ký, báo cáo tuân thủ, hành động khắc phục.</t>
  </si>
  <si>
    <t xml:space="preserve">F09</t>
  </si>
  <si>
    <t xml:space="preserve">Truy xuất nguồn gốc</t>
  </si>
  <si>
    <t xml:space="preserve">Truy vết xuôi/ngược; báo cáo bắt buộc gạo &amp; thịt bò; tùy chọn SKU khác.</t>
  </si>
  <si>
    <t xml:space="preserve">F10</t>
  </si>
  <si>
    <t xml:space="preserve">Lập lịch giao hàng ràng buộc giờ lái</t>
  </si>
  <si>
    <r>
      <rPr>
        <sz val="10"/>
        <rFont val="Arial"/>
        <family val="0"/>
        <charset val="1"/>
      </rPr>
      <t xml:space="preserve">Tạo lịch/tuyến, kiểm ràng buộc 2024 (960h/</t>
    </r>
    <r>
      <rPr>
        <sz val="10"/>
        <rFont val="Noto Sans CJK SC"/>
        <family val="2"/>
      </rPr>
      <t xml:space="preserve">拘束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連続運転</t>
    </r>
    <r>
      <rPr>
        <sz val="10"/>
        <rFont val="Arial"/>
        <family val="0"/>
        <charset val="1"/>
      </rPr>
      <t xml:space="preserve">), cảnh báo, gán xe/tài xế, POD.</t>
    </r>
  </si>
  <si>
    <t xml:space="preserve">F11</t>
  </si>
  <si>
    <t xml:space="preserve">Khách hàng &amp; lịch sử giao dịch</t>
  </si>
  <si>
    <r>
      <rPr>
        <sz val="10"/>
        <rFont val="Arial"/>
        <family val="0"/>
        <charset val="1"/>
      </rPr>
      <t xml:space="preserve">Hồ sơ khách, lịch sử giao (phục vụ </t>
    </r>
    <r>
      <rPr>
        <sz val="10"/>
        <rFont val="Noto Sans CJK SC"/>
        <family val="2"/>
      </rPr>
      <t xml:space="preserve">日付逆転</t>
    </r>
    <r>
      <rPr>
        <sz val="10"/>
        <rFont val="Arial"/>
        <family val="0"/>
        <charset val="1"/>
      </rPr>
      <t xml:space="preserve">), quy tắc riêng theo khách.</t>
    </r>
  </si>
  <si>
    <t xml:space="preserve">F12</t>
  </si>
  <si>
    <t xml:space="preserve">Báo cáo &amp; phân tích</t>
  </si>
  <si>
    <t xml:space="preserve">Nhập/xuất/tồn, hao hụt/hết hạn, báo cáo tuân thủ, dashboard vận hành.</t>
  </si>
  <si>
    <t xml:space="preserve">F13</t>
  </si>
  <si>
    <t xml:space="preserve">Quản trị hệ thống &amp; phân quyền</t>
  </si>
  <si>
    <t xml:space="preserve">Người dùng, vai trò, audit log, cấu hình tham số, đa ngôn ngữ.</t>
  </si>
  <si>
    <t xml:space="preserve">F14</t>
  </si>
  <si>
    <t xml:space="preserve">Tích hợp &amp; nhập/xuất dữ liệu</t>
  </si>
  <si>
    <t xml:space="preserve">Import đơn CSV/EDI, nhập/xuất master Excel/CSV, API nội bộ.</t>
  </si>
  <si>
    <t xml:space="preserve">Deliverable 3 — Feature list</t>
  </si>
  <si>
    <t xml:space="preserve">59 tính năng; mỗi feature gắn đúng 1 function (cột Func). Ưu tiên theo MoSCoW. Ghi chú đánh dấu BẪY nghiệp vụ.</t>
  </si>
  <si>
    <t xml:space="preserve">Feature ID</t>
  </si>
  <si>
    <t xml:space="preserve">Func</t>
  </si>
  <si>
    <t xml:space="preserve">Tên tính năng</t>
  </si>
  <si>
    <t xml:space="preserve">Mô tả</t>
  </si>
  <si>
    <t xml:space="preserve">Ưu tiên</t>
  </si>
  <si>
    <t xml:space="preserve">Ghi chú</t>
  </si>
  <si>
    <t xml:space="preserve">FE-01-01</t>
  </si>
  <si>
    <t xml:space="preserve">Quản lý nhà cung cấp</t>
  </si>
  <si>
    <t xml:space="preserve">CRUD nhà cung cấp, thông tin liên hệ, mặt hàng cung cấp.</t>
  </si>
  <si>
    <t xml:space="preserve">Must</t>
  </si>
  <si>
    <t xml:space="preserve">FE-01-02</t>
  </si>
  <si>
    <t xml:space="preserve">Quản lý khách &amp; điểm giao</t>
  </si>
  <si>
    <t xml:space="preserve">CRUD khách/điểm giao, địa chỉ, khung giờ nhận.</t>
  </si>
  <si>
    <t xml:space="preserve">FE-01-03</t>
  </si>
  <si>
    <t xml:space="preserve">Danh mục nhóm hàng &amp; ĐVT</t>
  </si>
  <si>
    <t xml:space="preserve">Nhóm hàng, đơn vị tính, quy cách.</t>
  </si>
  <si>
    <t xml:space="preserve">Should</t>
  </si>
  <si>
    <t xml:space="preserve">FE-01-04</t>
  </si>
  <si>
    <t xml:space="preserve">Quản lý xe &amp; tài xế</t>
  </si>
  <si>
    <t xml:space="preserve">CRUD xe (dải nhiệt, tải trọng), tài xế (giấy phép, giờ lái tích lũy).</t>
  </si>
  <si>
    <t xml:space="preserve">Nền cho F10</t>
  </si>
  <si>
    <t xml:space="preserve">FE-01-05</t>
  </si>
  <si>
    <t xml:space="preserve">Quản lý tuyến giao mặc định</t>
  </si>
  <si>
    <t xml:space="preserve">Định nghĩa tuyến, điểm dừng, thời gian chuẩn.</t>
  </si>
  <si>
    <t xml:space="preserve">FE-02-01</t>
  </si>
  <si>
    <t xml:space="preserve">Cấu hình dải nhiệt &amp; ngưỡng</t>
  </si>
  <si>
    <t xml:space="preserve">3 dải nhiệt + ngưỡng do Yuki tự công bố, cấu hình được.</t>
  </si>
  <si>
    <t xml:space="preserve">BẪY: không suy theo chuẩn chung</t>
  </si>
  <si>
    <t xml:space="preserve">FE-02-02</t>
  </si>
  <si>
    <t xml:space="preserve">Sơ đồ vị trí/kệ theo khu nhiệt</t>
  </si>
  <si>
    <t xml:space="preserve">Quản lý vị trí lưu trữ theo khu nhiệt.</t>
  </si>
  <si>
    <t xml:space="preserve">FE-02-03</t>
  </si>
  <si>
    <t xml:space="preserve">Quy tắc bảo quản nhóm hàng ↔ dải nhiệt</t>
  </si>
  <si>
    <t xml:space="preserve">Gán nhóm hàng với dải nhiệt hợp lệ.</t>
  </si>
  <si>
    <t xml:space="preserve">FE-03-01</t>
  </si>
  <si>
    <t xml:space="preserve">Quản lý sản phẩm (SKU)</t>
  </si>
  <si>
    <t xml:space="preserve">CRUD SKU, nhóm hàng, quy cách, dải nhiệt bảo quản.</t>
  </si>
  <si>
    <t xml:space="preserve">FE-03-02</t>
  </si>
  <si>
    <t xml:space="preserve">Cấu hình loại hạn dùng theo SKU</t>
  </si>
  <si>
    <r>
      <rPr>
        <sz val="10"/>
        <rFont val="Arial"/>
        <family val="0"/>
        <charset val="1"/>
      </rPr>
      <t xml:space="preserve">Chọn </t>
    </r>
    <r>
      <rPr>
        <sz val="10"/>
        <rFont val="Noto Sans CJK SC"/>
        <family val="2"/>
      </rPr>
      <t xml:space="preserve">賞味期限 </t>
    </r>
    <r>
      <rPr>
        <sz val="10"/>
        <rFont val="Arial"/>
        <family val="0"/>
        <charset val="1"/>
      </rPr>
      <t xml:space="preserve">hoặc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cho từng SKU; hành vi cảnh báo khác nhau.</t>
    </r>
  </si>
  <si>
    <t xml:space="preserve">BẪY: 2 loại hạn</t>
  </si>
  <si>
    <t xml:space="preserve">FE-03-03</t>
  </si>
  <si>
    <t xml:space="preserve">Quản lý lô &amp; ngày SX/hạn</t>
  </si>
  <si>
    <t xml:space="preserve">Lô, ngày sản xuất, hạn dùng, truy nguồn cung.</t>
  </si>
  <si>
    <t xml:space="preserve">FE-03-04</t>
  </si>
  <si>
    <t xml:space="preserve">Cấu hình quy tắc giao 1/3–1/2</t>
  </si>
  <si>
    <r>
      <rPr>
        <sz val="10"/>
        <rFont val="Arial"/>
        <family val="0"/>
        <charset val="1"/>
      </rPr>
      <t xml:space="preserve">Theo khách/SKU; tính </t>
    </r>
    <r>
      <rPr>
        <sz val="10"/>
        <rFont val="Noto Sans CJK SC"/>
        <family val="2"/>
      </rPr>
      <t xml:space="preserve">納品期限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販売期限 </t>
    </r>
    <r>
      <rPr>
        <sz val="10"/>
        <rFont val="Arial"/>
        <family val="0"/>
        <charset val="1"/>
      </rPr>
      <t xml:space="preserve">từ hạn </t>
    </r>
    <r>
      <rPr>
        <sz val="10"/>
        <rFont val="Noto Sans CJK SC"/>
        <family val="2"/>
      </rPr>
      <t xml:space="preserve">賞味期限</t>
    </r>
    <r>
      <rPr>
        <sz val="10"/>
        <rFont val="Arial"/>
        <family val="0"/>
        <charset val="1"/>
      </rPr>
      <t xml:space="preserve">.</t>
    </r>
  </si>
  <si>
    <t xml:space="preserve">BẪY: tập quán ≠ hạn thực</t>
  </si>
  <si>
    <t xml:space="preserve">FE-03-05</t>
  </si>
  <si>
    <t xml:space="preserve">Cờ truy xuất bắt buộc (gạo/bò)</t>
  </si>
  <si>
    <r>
      <rPr>
        <sz val="10"/>
        <rFont val="Arial"/>
        <family val="0"/>
        <charset val="1"/>
      </rPr>
      <t xml:space="preserve">Đánh dấu SKU thuộc diện </t>
    </r>
    <r>
      <rPr>
        <sz val="10"/>
        <rFont val="Noto Sans CJK SC"/>
        <family val="2"/>
      </rPr>
      <t xml:space="preserve">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牛トレーサビリティ法</t>
    </r>
    <r>
      <rPr>
        <sz val="10"/>
        <rFont val="Arial"/>
        <family val="0"/>
        <charset val="1"/>
      </rPr>
      <t xml:space="preserve">.</t>
    </r>
  </si>
  <si>
    <t xml:space="preserve">BẪY: chỉ gạo/bò bắt buộc</t>
  </si>
  <si>
    <t xml:space="preserve">FE-04-01</t>
  </si>
  <si>
    <t xml:space="preserve">Ghi phiếu nhập</t>
  </si>
  <si>
    <t xml:space="preserve">Tạo phiếu nhập từ nhà cung cấp, đối chiếu đơn đặt.</t>
  </si>
  <si>
    <t xml:space="preserve">FE-04-02</t>
  </si>
  <si>
    <t xml:space="preserve">Kiểm &amp; ghi nhiệt độ lúc nhận</t>
  </si>
  <si>
    <t xml:space="preserve">Đo &amp; ghi nhiệt hàng khi nhận; so ngưỡng dải nhiệt.</t>
  </si>
  <si>
    <t xml:space="preserve">Chuỗi lạnh</t>
  </si>
  <si>
    <t xml:space="preserve">FE-04-03</t>
  </si>
  <si>
    <t xml:space="preserve">Ghi lô/hạn/số lượng khi nhập</t>
  </si>
  <si>
    <t xml:space="preserve">Nhập lô, hạn, số lượng; sinh tồn theo lô.</t>
  </si>
  <si>
    <t xml:space="preserve">FE-04-04</t>
  </si>
  <si>
    <t xml:space="preserve">Gợi ý vị trí lưu theo dải nhiệt</t>
  </si>
  <si>
    <t xml:space="preserve">Đề xuất vị trí phù hợp khu nhiệt.</t>
  </si>
  <si>
    <t xml:space="preserve">FE-04-05</t>
  </si>
  <si>
    <t xml:space="preserve">Cảnh báo nhập sai dải nhiệt/không đạt nhiệt</t>
  </si>
  <si>
    <t xml:space="preserve">Chặn/cảnh báo khi nhiệt vượt ngưỡng hoặc sai khu.</t>
  </si>
  <si>
    <t xml:space="preserve">FE-05-01</t>
  </si>
  <si>
    <t xml:space="preserve">Tiếp nhận đơn xuất</t>
  </si>
  <si>
    <t xml:space="preserve">Nhập tay/CSV đơn từ retailer.</t>
  </si>
  <si>
    <t xml:space="preserve">FE-05-02</t>
  </si>
  <si>
    <t xml:space="preserve">Gợi ý lấy hàng theo FIFO</t>
  </si>
  <si>
    <t xml:space="preserve">Đề xuất lô theo vào trước ra trước / cận hạn trước.</t>
  </si>
  <si>
    <t xml:space="preserve">Lõi</t>
  </si>
  <si>
    <t xml:space="preserve">FE-05-03</t>
  </si>
  <si>
    <r>
      <rPr>
        <sz val="10"/>
        <rFont val="Arial"/>
        <family val="0"/>
        <charset val="1"/>
      </rPr>
      <t xml:space="preserve">Chặn </t>
    </r>
    <r>
      <rPr>
        <sz val="10"/>
        <rFont val="Noto Sans CJK SC"/>
        <family val="2"/>
      </rPr>
      <t xml:space="preserve">日付逆転</t>
    </r>
  </si>
  <si>
    <t xml:space="preserve">So hạn lô định giao với lịch sử giao của CÙNG khách; chặn nếu cũ hơn.</t>
  </si>
  <si>
    <t xml:space="preserve">BẪY LÕI: so lịch sử khách</t>
  </si>
  <si>
    <t xml:space="preserve">FE-05-04</t>
  </si>
  <si>
    <t xml:space="preserve">Cảnh báo vi phạm quy tắc 1/3–1/2</t>
  </si>
  <si>
    <r>
      <rPr>
        <sz val="10"/>
        <rFont val="Arial"/>
        <family val="0"/>
        <charset val="1"/>
      </rPr>
      <t xml:space="preserve">Cảnh báo khi quá </t>
    </r>
    <r>
      <rPr>
        <sz val="10"/>
        <rFont val="Noto Sans CJK SC"/>
        <family val="2"/>
      </rPr>
      <t xml:space="preserve">納品期限 </t>
    </r>
    <r>
      <rPr>
        <sz val="10"/>
        <rFont val="Arial"/>
        <family val="0"/>
        <charset val="1"/>
      </rPr>
      <t xml:space="preserve">theo tập quán của khách.</t>
    </r>
  </si>
  <si>
    <t xml:space="preserve">BẪY: tập quán</t>
  </si>
  <si>
    <t xml:space="preserve">FE-05-05</t>
  </si>
  <si>
    <t xml:space="preserve">Kiểm &amp; ghi nhiệt độ khi xuất/giao</t>
  </si>
  <si>
    <t xml:space="preserve">Ghi nhiệt lúc xuất/giao; lưu vết chuỗi lạnh.</t>
  </si>
  <si>
    <t xml:space="preserve">FE-05-06</t>
  </si>
  <si>
    <t xml:space="preserve">Phiếu xuất &amp; packing list</t>
  </si>
  <si>
    <t xml:space="preserve">Sinh phiếu xuất/giao, packing list, nhãn.</t>
  </si>
  <si>
    <t xml:space="preserve">FE-06-01</t>
  </si>
  <si>
    <t xml:space="preserve">Tồn kho theo SKU/lô/vị trí/dải nhiệt</t>
  </si>
  <si>
    <t xml:space="preserve">Xem tồn đa chiều, theo thời gian thực.</t>
  </si>
  <si>
    <t xml:space="preserve">FE-06-02</t>
  </si>
  <si>
    <t xml:space="preserve">Cảnh báo cận hạn theo loại hạn</t>
  </si>
  <si>
    <r>
      <rPr>
        <sz val="10"/>
        <rFont val="Arial"/>
        <family val="0"/>
        <charset val="1"/>
      </rPr>
      <t xml:space="preserve">Ngưỡng cảnh báo khác nhau cho </t>
    </r>
    <r>
      <rPr>
        <sz val="10"/>
        <rFont val="Noto Sans CJK SC"/>
        <family val="2"/>
      </rPr>
      <t xml:space="preserve">賞味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消費</t>
    </r>
    <r>
      <rPr>
        <sz val="10"/>
        <rFont val="Arial"/>
        <family val="0"/>
        <charset val="1"/>
      </rPr>
      <t xml:space="preserve">.</t>
    </r>
  </si>
  <si>
    <t xml:space="preserve">BẪY liên quan</t>
  </si>
  <si>
    <t xml:space="preserve">FE-06-03</t>
  </si>
  <si>
    <t xml:space="preserve">Kiểm kê &amp; điều chỉnh</t>
  </si>
  <si>
    <t xml:space="preserve">Stocktake, chênh lệch, điều chỉnh có lý do.</t>
  </si>
  <si>
    <t xml:space="preserve">FE-06-04</t>
  </si>
  <si>
    <t xml:space="preserve">Điều chuyển nội bộ giữa khu nhiệt</t>
  </si>
  <si>
    <t xml:space="preserve">Chuyển vị trí/khu; ghi vết.</t>
  </si>
  <si>
    <t xml:space="preserve">Could</t>
  </si>
  <si>
    <t xml:space="preserve">FE-07-01</t>
  </si>
  <si>
    <t xml:space="preserve">Import dữ liệu nhiệt độ (CSV)</t>
  </si>
  <si>
    <t xml:space="preserve">Nạp CSV logger định kỳ, chuẩn hóa theo khu/thời gian.</t>
  </si>
  <si>
    <t xml:space="preserve">FE-07-02</t>
  </si>
  <si>
    <t xml:space="preserve">Dashboard giám sát nhiệt độ</t>
  </si>
  <si>
    <t xml:space="preserve">Biểu đồ nhiệt theo khu/khoảng thời gian.</t>
  </si>
  <si>
    <t xml:space="preserve">FE-07-03</t>
  </si>
  <si>
    <t xml:space="preserve">Cảnh báo lệch ngưỡng &amp; nhật ký sự cố</t>
  </si>
  <si>
    <t xml:space="preserve">Phát hiện vượt ngưỡng, ghi sự cố &amp; thông báo.</t>
  </si>
  <si>
    <t xml:space="preserve">FE-08-01</t>
  </si>
  <si>
    <t xml:space="preserve">Thiết lập CCP &amp; biểu mẫu ghi chép</t>
  </si>
  <si>
    <t xml:space="preserve">Định nghĩa điểm kiểm soát tới hạn &amp; form.</t>
  </si>
  <si>
    <t xml:space="preserve">FE-08-02</t>
  </si>
  <si>
    <t xml:space="preserve">Ghi nhật ký HACCP</t>
  </si>
  <si>
    <t xml:space="preserve">Ghi nhiệt độ, vệ sinh, kiểm tra theo biểu mẫu &amp; lịch.</t>
  </si>
  <si>
    <t xml:space="preserve">FE-08-03</t>
  </si>
  <si>
    <t xml:space="preserve">Báo cáo tuân thủ &amp; lưu vết HACCP</t>
  </si>
  <si>
    <t xml:space="preserve">Xuất báo cáo, lưu vết không sửa (tamper-evident).</t>
  </si>
  <si>
    <t xml:space="preserve">FE-08-04</t>
  </si>
  <si>
    <t xml:space="preserve">Hành động khắc phục khi lệch CCP</t>
  </si>
  <si>
    <t xml:space="preserve">Ghi nhận &amp; theo dõi corrective action.</t>
  </si>
  <si>
    <t xml:space="preserve">FE-09-01</t>
  </si>
  <si>
    <t xml:space="preserve">Truy vết xuôi</t>
  </si>
  <si>
    <t xml:space="preserve">Nhà cung cấp/lô → đơn giao/khách.</t>
  </si>
  <si>
    <t xml:space="preserve">FE-09-02</t>
  </si>
  <si>
    <t xml:space="preserve">Truy vết ngược</t>
  </si>
  <si>
    <t xml:space="preserve">Đơn giao/khách → lô → nhà cung cấp.</t>
  </si>
  <si>
    <t xml:space="preserve">FE-09-03</t>
  </si>
  <si>
    <t xml:space="preserve">Báo cáo truy xuất bắt buộc gạo &amp; thịt bò</t>
  </si>
  <si>
    <r>
      <rPr>
        <sz val="10"/>
        <rFont val="Arial"/>
        <family val="0"/>
        <charset val="1"/>
      </rPr>
      <t xml:space="preserve">Đáp ứng </t>
    </r>
    <r>
      <rPr>
        <sz val="10"/>
        <rFont val="Noto Sans CJK SC"/>
        <family val="2"/>
      </rPr>
      <t xml:space="preserve">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牛トレーサビリティ法</t>
    </r>
    <r>
      <rPr>
        <sz val="10"/>
        <rFont val="Arial"/>
        <family val="0"/>
        <charset val="1"/>
      </rPr>
      <t xml:space="preserve">.</t>
    </r>
  </si>
  <si>
    <t xml:space="preserve">BẪY: bắt buộc</t>
  </si>
  <si>
    <t xml:space="preserve">FE-09-04</t>
  </si>
  <si>
    <t xml:space="preserve">Truy xuất tùy chọn SKU khác</t>
  </si>
  <si>
    <t xml:space="preserve">Bật/tắt theo nhóm; không bắt buộc.</t>
  </si>
  <si>
    <t xml:space="preserve">FE-10-01</t>
  </si>
  <si>
    <t xml:space="preserve">Tạo lịch giao theo đơn &amp; tuyến</t>
  </si>
  <si>
    <t xml:space="preserve">Lập lịch giao, gom đơn theo tuyến/ngày.</t>
  </si>
  <si>
    <t xml:space="preserve">FE-10-02</t>
  </si>
  <si>
    <t xml:space="preserve">Kiểm ràng buộc giờ lái 2024</t>
  </si>
  <si>
    <r>
      <rPr>
        <sz val="10"/>
        <rFont val="Arial"/>
        <family val="0"/>
        <charset val="1"/>
      </rPr>
      <t xml:space="preserve">960h/năm, </t>
    </r>
    <r>
      <rPr>
        <sz val="10"/>
        <rFont val="Noto Sans CJK SC"/>
        <family val="2"/>
      </rPr>
      <t xml:space="preserve">拘束時間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連続運転時間</t>
    </r>
    <r>
      <rPr>
        <sz val="10"/>
        <rFont val="Arial"/>
        <family val="0"/>
        <charset val="1"/>
      </rPr>
      <t xml:space="preserve">, nghỉ giữa ca.</t>
    </r>
  </si>
  <si>
    <t xml:space="preserve">LÕI 2024</t>
  </si>
  <si>
    <t xml:space="preserve">FE-10-03</t>
  </si>
  <si>
    <t xml:space="preserve">Cảnh báo/chặn lịch vi phạm giờ lái</t>
  </si>
  <si>
    <t xml:space="preserve">Hiển thị vi phạm &amp; chặn chốt lịch.</t>
  </si>
  <si>
    <t xml:space="preserve">FE-10-04</t>
  </si>
  <si>
    <t xml:space="preserve">Gán xe/tài xế &amp; khớp dải nhiệt</t>
  </si>
  <si>
    <t xml:space="preserve">Gán nguồn lực; kiểm tải trọng &amp; dải nhiệt xe↔hàng.</t>
  </si>
  <si>
    <t xml:space="preserve">FE-10-05</t>
  </si>
  <si>
    <t xml:space="preserve">Tối ưu tuyến tự động (routing)</t>
  </si>
  <si>
    <t xml:space="preserve">Tối ưu thứ tự điểm/tuyến theo ràng buộc.</t>
  </si>
  <si>
    <t xml:space="preserve">SCOPE: cần xác nhận (Q-01)</t>
  </si>
  <si>
    <t xml:space="preserve">FE-10-06</t>
  </si>
  <si>
    <t xml:space="preserve">Theo dõi giao &amp; xác nhận (POD)</t>
  </si>
  <si>
    <t xml:space="preserve">Trạng thái giao, bằng chứng giao hàng.</t>
  </si>
  <si>
    <t xml:space="preserve">FE-11-01</t>
  </si>
  <si>
    <t xml:space="preserve">Hồ sơ khách &amp; điểm giao</t>
  </si>
  <si>
    <t xml:space="preserve">Thông tin khách, khung giờ, ràng buộc riêng.</t>
  </si>
  <si>
    <t xml:space="preserve">FE-11-02</t>
  </si>
  <si>
    <t xml:space="preserve">Lịch sử giao hàng theo khách</t>
  </si>
  <si>
    <r>
      <rPr>
        <sz val="10"/>
        <rFont val="Arial"/>
        <family val="0"/>
        <charset val="1"/>
      </rPr>
      <t xml:space="preserve">Lưu &amp; tra cứu lịch sử giao (nền cho </t>
    </r>
    <r>
      <rPr>
        <sz val="10"/>
        <rFont val="Noto Sans CJK SC"/>
        <family val="2"/>
      </rPr>
      <t xml:space="preserve">日付逆転</t>
    </r>
    <r>
      <rPr>
        <sz val="10"/>
        <rFont val="Arial"/>
        <family val="0"/>
        <charset val="1"/>
      </rPr>
      <t xml:space="preserve">).</t>
    </r>
  </si>
  <si>
    <t xml:space="preserve">Hỗ trợ BẪY lõi</t>
  </si>
  <si>
    <t xml:space="preserve">FE-11-03</t>
  </si>
  <si>
    <t xml:space="preserve">Cấu hình quy tắc riêng theo khách</t>
  </si>
  <si>
    <t xml:space="preserve">1/3 vs 1/2, dải nhiệt, khung giờ nhận.</t>
  </si>
  <si>
    <t xml:space="preserve">FE-12-01</t>
  </si>
  <si>
    <t xml:space="preserve">Báo cáo nhập/xuất/tồn</t>
  </si>
  <si>
    <t xml:space="preserve">Báo cáo vận hành cơ bản theo kỳ.</t>
  </si>
  <si>
    <t xml:space="preserve">FE-12-02</t>
  </si>
  <si>
    <t xml:space="preserve">Báo cáo hao hụt/hết hạn (food loss)</t>
  </si>
  <si>
    <t xml:space="preserve">Thống kê hàng hết hạn/hủy.</t>
  </si>
  <si>
    <t xml:space="preserve">FE-12-03</t>
  </si>
  <si>
    <t xml:space="preserve">Báo cáo tuân thủ</t>
  </si>
  <si>
    <t xml:space="preserve">HACCP, nhiệt độ, giờ lái, truy xuất.</t>
  </si>
  <si>
    <t xml:space="preserve">FE-12-04</t>
  </si>
  <si>
    <t xml:space="preserve">Dashboard tổng quan vận hành</t>
  </si>
  <si>
    <t xml:space="preserve">KPI nhập/xuất/tồn/cảnh báo.</t>
  </si>
  <si>
    <t xml:space="preserve">FE-13-01</t>
  </si>
  <si>
    <t xml:space="preserve">Người dùng &amp; phân quyền theo vai trò</t>
  </si>
  <si>
    <t xml:space="preserve">RBAC theo vai trò nghiệp vụ.</t>
  </si>
  <si>
    <t xml:space="preserve">FE-13-02</t>
  </si>
  <si>
    <t xml:space="preserve">Audit log</t>
  </si>
  <si>
    <t xml:space="preserve">Ghi vết thao tác (hỗ trợ HACCP &amp; truy xuất).</t>
  </si>
  <si>
    <t xml:space="preserve">FE-13-03</t>
  </si>
  <si>
    <t xml:space="preserve">Cấu hình hệ thống &amp; tham số</t>
  </si>
  <si>
    <t xml:space="preserve">Tham số nghiệp vụ, ngưỡng cảnh báo.</t>
  </si>
  <si>
    <t xml:space="preserve">FE-13-04</t>
  </si>
  <si>
    <t xml:space="preserve">Đa ngôn ngữ JP/EN</t>
  </si>
  <si>
    <t xml:space="preserve">i18n giao diện.</t>
  </si>
  <si>
    <t xml:space="preserve">FE-14-01</t>
  </si>
  <si>
    <t xml:space="preserve">Import đơn CSV/EDI</t>
  </si>
  <si>
    <t xml:space="preserve">Nạp đơn từ retailer (CSV; EDI tùy chọn).</t>
  </si>
  <si>
    <t xml:space="preserve">FE-14-02</t>
  </si>
  <si>
    <t xml:space="preserve">Nhập/xuất master Excel/CSV</t>
  </si>
  <si>
    <t xml:space="preserve">Import/export danh mục.</t>
  </si>
  <si>
    <t xml:space="preserve">FE-14-03</t>
  </si>
  <si>
    <t xml:space="preserve">API nội bộ</t>
  </si>
  <si>
    <t xml:space="preserve">API dữ liệu nhiệt độ/đơn cho tích hợp.</t>
  </si>
  <si>
    <t xml:space="preserve">Deliverable 4 — Danh sách màn hình</t>
  </si>
  <si>
    <t xml:space="preserve">43 màn hình suy từ feature list; đầu vào trực tiếp cho LAB-2/3. Cột 'Độ PT' (S/M/C) dùng để ước lượng ở sheet 06.</t>
  </si>
  <si>
    <t xml:space="preserve">SCR ID</t>
  </si>
  <si>
    <t xml:space="preserve">Tên màn hình</t>
  </si>
  <si>
    <t xml:space="preserve">Actor</t>
  </si>
  <si>
    <t xml:space="preserve">Độ PT</t>
  </si>
  <si>
    <t xml:space="preserve">SCR-00</t>
  </si>
  <si>
    <t xml:space="preserve">Đăng nhập</t>
  </si>
  <si>
    <t xml:space="preserve">Tất cả</t>
  </si>
  <si>
    <t xml:space="preserve">Form</t>
  </si>
  <si>
    <t xml:space="preserve">S</t>
  </si>
  <si>
    <t xml:space="preserve">SCR-01</t>
  </si>
  <si>
    <t xml:space="preserve">Quản lý</t>
  </si>
  <si>
    <t xml:space="preserve">Dashboard</t>
  </si>
  <si>
    <t xml:space="preserve">C</t>
  </si>
  <si>
    <t xml:space="preserve">KPI + cảnh báo</t>
  </si>
  <si>
    <t xml:space="preserve">SCR-02</t>
  </si>
  <si>
    <t xml:space="preserve">Danh sách nhà cung cấp</t>
  </si>
  <si>
    <t xml:space="preserve">Admin/BA</t>
  </si>
  <si>
    <t xml:space="preserve">List</t>
  </si>
  <si>
    <t xml:space="preserve">SCR-03</t>
  </si>
  <si>
    <t xml:space="preserve">Danh sách khách &amp; điểm giao</t>
  </si>
  <si>
    <t xml:space="preserve">Admin</t>
  </si>
  <si>
    <t xml:space="preserve">SCR-04</t>
  </si>
  <si>
    <t xml:space="preserve">Giao vận</t>
  </si>
  <si>
    <t xml:space="preserve">List+Form</t>
  </si>
  <si>
    <t xml:space="preserve">M</t>
  </si>
  <si>
    <t xml:space="preserve">SCR-05</t>
  </si>
  <si>
    <t xml:space="preserve">Quản lý tuyến giao</t>
  </si>
  <si>
    <t xml:space="preserve">SCR-06</t>
  </si>
  <si>
    <t xml:space="preserve">Danh mục nhóm hàng/ĐVT</t>
  </si>
  <si>
    <t xml:space="preserve">SCR-07</t>
  </si>
  <si>
    <t xml:space="preserve">Admin/QA</t>
  </si>
  <si>
    <t xml:space="preserve">BẪY ngưỡng tự công bố</t>
  </si>
  <si>
    <t xml:space="preserve">SCR-08</t>
  </si>
  <si>
    <t xml:space="preserve">Sơ đồ vị trí kho</t>
  </si>
  <si>
    <t xml:space="preserve">Kho</t>
  </si>
  <si>
    <t xml:space="preserve">SCR-09</t>
  </si>
  <si>
    <t xml:space="preserve">Danh sách sản phẩm (SKU)</t>
  </si>
  <si>
    <t xml:space="preserve">SCR-10</t>
  </si>
  <si>
    <t xml:space="preserve">Chi tiết &amp; cấu hình SKU</t>
  </si>
  <si>
    <t xml:space="preserve">Loại hạn + quy tắc 1/3 + cờ truy xuất</t>
  </si>
  <si>
    <t xml:space="preserve">SCR-11</t>
  </si>
  <si>
    <t xml:space="preserve">Quản lý lô &amp; hạn dùng</t>
  </si>
  <si>
    <t xml:space="preserve">SCR-12</t>
  </si>
  <si>
    <t xml:space="preserve">Danh sách phiếu nhập</t>
  </si>
  <si>
    <t xml:space="preserve">SCR-13</t>
  </si>
  <si>
    <t xml:space="preserve">Tạo &amp; kiểm phiếu nhập</t>
  </si>
  <si>
    <t xml:space="preserve">Ghi nhiệt/lô/hạn</t>
  </si>
  <si>
    <t xml:space="preserve">SCR-14</t>
  </si>
  <si>
    <t xml:space="preserve">Gợi ý vị trí lưu</t>
  </si>
  <si>
    <t xml:space="preserve">Detail</t>
  </si>
  <si>
    <t xml:space="preserve">SCR-15</t>
  </si>
  <si>
    <t xml:space="preserve">Danh sách đơn xuất</t>
  </si>
  <si>
    <t xml:space="preserve">Kho/Giao vận</t>
  </si>
  <si>
    <t xml:space="preserve">SCR-16</t>
  </si>
  <si>
    <t xml:space="preserve">Lấy hàng FIFO &amp; kiểm tra giao</t>
  </si>
  <si>
    <r>
      <rPr>
        <sz val="10"/>
        <rFont val="Arial"/>
        <family val="0"/>
        <charset val="1"/>
      </rPr>
      <t xml:space="preserve">FIFO + </t>
    </r>
    <r>
      <rPr>
        <sz val="10"/>
        <rFont val="Noto Sans CJK SC"/>
        <family val="2"/>
      </rPr>
      <t xml:space="preserve">日付逆転 </t>
    </r>
    <r>
      <rPr>
        <sz val="10"/>
        <rFont val="Arial"/>
        <family val="0"/>
        <charset val="1"/>
      </rPr>
      <t xml:space="preserve">+ 1/3 (LÕI)</t>
    </r>
  </si>
  <si>
    <t xml:space="preserve">SCR-17</t>
  </si>
  <si>
    <t xml:space="preserve">SCR-18</t>
  </si>
  <si>
    <t xml:space="preserve">Ghi nhiệt khi xuất/giao</t>
  </si>
  <si>
    <t xml:space="preserve">SCR-19</t>
  </si>
  <si>
    <t xml:space="preserve">Tồn kho (SKU/lô/vị trí)</t>
  </si>
  <si>
    <t xml:space="preserve">Kho/Quản lý</t>
  </si>
  <si>
    <t xml:space="preserve">SCR-20</t>
  </si>
  <si>
    <t xml:space="preserve">Cảnh báo cận hạn</t>
  </si>
  <si>
    <t xml:space="preserve">QA/Kho</t>
  </si>
  <si>
    <t xml:space="preserve">Theo loại hạn</t>
  </si>
  <si>
    <t xml:space="preserve">SCR-21</t>
  </si>
  <si>
    <t xml:space="preserve">SCR-22</t>
  </si>
  <si>
    <t xml:space="preserve">Import CSV nhiệt độ</t>
  </si>
  <si>
    <t xml:space="preserve">QA</t>
  </si>
  <si>
    <t xml:space="preserve">SCR-23</t>
  </si>
  <si>
    <t xml:space="preserve">QA/Quản lý</t>
  </si>
  <si>
    <t xml:space="preserve">SCR-24</t>
  </si>
  <si>
    <t xml:space="preserve">Nhật ký cảnh báo nhiệt</t>
  </si>
  <si>
    <t xml:space="preserve">SCR-25</t>
  </si>
  <si>
    <t xml:space="preserve">Cấu hình CCP &amp; biểu mẫu</t>
  </si>
  <si>
    <t xml:space="preserve">QA/HACCP</t>
  </si>
  <si>
    <t xml:space="preserve">SCR-26</t>
  </si>
  <si>
    <t xml:space="preserve">SCR-27</t>
  </si>
  <si>
    <t xml:space="preserve">Báo cáo tuân thủ HACCP</t>
  </si>
  <si>
    <t xml:space="preserve">Report</t>
  </si>
  <si>
    <t xml:space="preserve">Lưu vết</t>
  </si>
  <si>
    <t xml:space="preserve">SCR-28</t>
  </si>
  <si>
    <t xml:space="preserve">Hành động khắc phục</t>
  </si>
  <si>
    <t xml:space="preserve">SCR-29</t>
  </si>
  <si>
    <t xml:space="preserve">Truy vết nguồn gốc (xuôi/ngược)</t>
  </si>
  <si>
    <t xml:space="preserve">SCR-30</t>
  </si>
  <si>
    <t xml:space="preserve">Báo cáo truy xuất gạo/bò</t>
  </si>
  <si>
    <t xml:space="preserve">Bắt buộc luật</t>
  </si>
  <si>
    <t xml:space="preserve">SCR-31</t>
  </si>
  <si>
    <t xml:space="preserve">Lập lịch giao &amp; gán tuyến</t>
  </si>
  <si>
    <t xml:space="preserve">SCR-32</t>
  </si>
  <si>
    <t xml:space="preserve">Bảng kiểm ràng buộc giờ lái</t>
  </si>
  <si>
    <t xml:space="preserve">SCR-33</t>
  </si>
  <si>
    <t xml:space="preserve">Theo dõi giao hàng &amp; POD</t>
  </si>
  <si>
    <t xml:space="preserve">SCR-34</t>
  </si>
  <si>
    <t xml:space="preserve">Hồ sơ khách &amp; quy tắc riêng</t>
  </si>
  <si>
    <t xml:space="preserve">Admin/Sales</t>
  </si>
  <si>
    <t xml:space="preserve">1/3 vs 1/2</t>
  </si>
  <si>
    <t xml:space="preserve">SCR-35</t>
  </si>
  <si>
    <t xml:space="preserve">Lịch sử giao theo khách</t>
  </si>
  <si>
    <t xml:space="preserve">Giao vận/QA</t>
  </si>
  <si>
    <r>
      <rPr>
        <sz val="10"/>
        <rFont val="Arial"/>
        <family val="0"/>
        <charset val="1"/>
      </rPr>
      <t xml:space="preserve">Nền </t>
    </r>
    <r>
      <rPr>
        <sz val="10"/>
        <rFont val="Noto Sans CJK SC"/>
        <family val="2"/>
      </rPr>
      <t xml:space="preserve">日付逆転</t>
    </r>
  </si>
  <si>
    <t xml:space="preserve">SCR-36</t>
  </si>
  <si>
    <t xml:space="preserve">Trung tâm báo cáo</t>
  </si>
  <si>
    <t xml:space="preserve">SCR-37</t>
  </si>
  <si>
    <t xml:space="preserve">Báo cáo tuân thủ (tổng hợp)</t>
  </si>
  <si>
    <t xml:space="preserve">HACCP/nhiệt/giờ lái</t>
  </si>
  <si>
    <t xml:space="preserve">SCR-38</t>
  </si>
  <si>
    <t xml:space="preserve">Quản lý người dùng &amp; quyền</t>
  </si>
  <si>
    <t xml:space="preserve">SCR-39</t>
  </si>
  <si>
    <t xml:space="preserve">Cấu hình hệ thống</t>
  </si>
  <si>
    <t xml:space="preserve">SCR-40</t>
  </si>
  <si>
    <t xml:space="preserve">SCR-41</t>
  </si>
  <si>
    <t xml:space="preserve">Nhập đơn CSV/EDI</t>
  </si>
  <si>
    <t xml:space="preserve">Admin/Giao vận</t>
  </si>
  <si>
    <t xml:space="preserve">SCR-42</t>
  </si>
  <si>
    <t xml:space="preserve">Nhập/xuất master</t>
  </si>
  <si>
    <t xml:space="preserve">Độ PT:</t>
  </si>
  <si>
    <t xml:space="preserve">S = đơn giản (list/CRUD cơ bản)</t>
  </si>
  <si>
    <t xml:space="preserve">M = trung bình (form/validation/detail)</t>
  </si>
  <si>
    <t xml:space="preserve">C = phức tạp (logic/dashboard/engine)</t>
  </si>
  <si>
    <t xml:space="preserve">Deliverable 5 — User stories (tính năng cốt lõi)</t>
  </si>
  <si>
    <t xml:space="preserve">Mẫu: Là &lt;ai&gt; / tôi muốn &lt;gì&gt; / để &lt;mục đích&gt;. Acceptance criteria dạng Given-When-Then cho các điểm nghiệp vụ đặc thù.</t>
  </si>
  <si>
    <t xml:space="preserve">Là (actor)</t>
  </si>
  <si>
    <t xml:space="preserve">Tôi muốn</t>
  </si>
  <si>
    <t xml:space="preserve">Để mà</t>
  </si>
  <si>
    <t xml:space="preserve">Acceptance criteria</t>
  </si>
  <si>
    <t xml:space="preserve">Feature</t>
  </si>
  <si>
    <t xml:space="preserve">US-01</t>
  </si>
  <si>
    <t xml:space="preserve">Nhân viên kho</t>
  </si>
  <si>
    <t xml:space="preserve">được hệ thống gợi ý lô lấy hàng theo FIFO/cận hạn trước</t>
  </si>
  <si>
    <t xml:space="preserve">giảm hàng tồn quá hạn và lấy đúng thứ tự</t>
  </si>
  <si>
    <t xml:space="preserve">• Khi tạo lệnh lấy hàng cho 1 SKU, hệ thống đề xuất lô có hạn gần nhất còn đủ số lượng
• Nếu nhân viên chọn lô khác lô đề xuất, hệ thống yêu cầu lý do &amp; ghi vết
• Lô đã khóa/hết hạn không xuất hiện trong gợi ý</t>
  </si>
  <si>
    <t xml:space="preserve">US-02</t>
  </si>
  <si>
    <t xml:space="preserve">Nhân viên kho / Giao vận</t>
  </si>
  <si>
    <t xml:space="preserve">bị CHẶN khi định giao lô có hạn cũ hơn lô đã giao trước đó cho cùng khách</t>
  </si>
  <si>
    <r>
      <rPr>
        <sz val="10"/>
        <rFont val="Arial"/>
        <family val="0"/>
        <charset val="1"/>
      </rPr>
      <t xml:space="preserve">không vi phạm </t>
    </r>
    <r>
      <rPr>
        <sz val="10"/>
        <rFont val="Noto Sans CJK SC"/>
        <family val="2"/>
      </rPr>
      <t xml:space="preserve">日付逆転禁止</t>
    </r>
  </si>
  <si>
    <r>
      <rPr>
        <sz val="10"/>
        <rFont val="Arial"/>
        <family val="0"/>
        <charset val="1"/>
      </rPr>
      <t xml:space="preserve">• Given khách K đã nhận lô có hạn 2026-10-20; When chọn giao cho K lô hạn 2026-10-15; Then hệ thống CHẶN và báo vi phạm </t>
    </r>
    <r>
      <rPr>
        <sz val="10"/>
        <rFont val="Noto Sans CJK SC"/>
        <family val="2"/>
      </rPr>
      <t xml:space="preserve">日付逆転
• </t>
    </r>
    <r>
      <rPr>
        <sz val="10"/>
        <rFont val="Arial"/>
        <family val="0"/>
        <charset val="1"/>
      </rPr>
      <t xml:space="preserve">So sánh dựa trên LỊCH SỬ GIAO của từng khách, không so với ngày hôm nay
• Trường hợp ngoại lệ chỉ được duyệt bởi vai trò quản lý và ghi audit log</t>
    </r>
  </si>
  <si>
    <t xml:space="preserve">FE-05-03, FE-11-02</t>
  </si>
  <si>
    <t xml:space="preserve">US-03</t>
  </si>
  <si>
    <t xml:space="preserve">Nhân viên giao vận</t>
  </si>
  <si>
    <r>
      <rPr>
        <sz val="10"/>
        <rFont val="Arial"/>
        <family val="0"/>
        <charset val="1"/>
      </rPr>
      <t xml:space="preserve">được cảnh báo khi lô vượt </t>
    </r>
    <r>
      <rPr>
        <sz val="10"/>
        <rFont val="Noto Sans CJK SC"/>
        <family val="2"/>
      </rPr>
      <t xml:space="preserve">納品期限 </t>
    </r>
    <r>
      <rPr>
        <sz val="10"/>
        <rFont val="Arial"/>
        <family val="0"/>
        <charset val="1"/>
      </rPr>
      <t xml:space="preserve">theo quy tắc 1/3 (hoặc 1/2) của khách</t>
    </r>
  </si>
  <si>
    <t xml:space="preserve">giao đúng tập quán thương mại của từng retailer</t>
  </si>
  <si>
    <r>
      <rPr>
        <sz val="10"/>
        <rFont val="Arial"/>
        <family val="0"/>
        <charset val="1"/>
      </rPr>
      <t xml:space="preserve">• Hệ thống tính </t>
    </r>
    <r>
      <rPr>
        <sz val="10"/>
        <rFont val="Noto Sans CJK SC"/>
        <family val="2"/>
      </rPr>
      <t xml:space="preserve">納品期限 </t>
    </r>
    <r>
      <rPr>
        <sz val="10"/>
        <rFont val="Arial"/>
        <family val="0"/>
        <charset val="1"/>
      </rPr>
      <t xml:space="preserve">= ngày SX + 1/3 (hoặc 1/2) khoảng </t>
    </r>
    <r>
      <rPr>
        <sz val="10"/>
        <rFont val="Noto Sans CJK SC"/>
        <family val="2"/>
      </rPr>
      <t xml:space="preserve">賞味期限 </t>
    </r>
    <r>
      <rPr>
        <sz val="10"/>
        <rFont val="Arial"/>
        <family val="0"/>
        <charset val="1"/>
      </rPr>
      <t xml:space="preserve">theo cấu hình khách
• Khi lô đã quá </t>
    </r>
    <r>
      <rPr>
        <sz val="10"/>
        <rFont val="Noto Sans CJK SC"/>
        <family val="2"/>
      </rPr>
      <t xml:space="preserve">納品期限 </t>
    </r>
    <r>
      <rPr>
        <sz val="10"/>
        <rFont val="Arial"/>
        <family val="0"/>
        <charset val="1"/>
      </rPr>
      <t xml:space="preserve">nhưng CÒN hạn dùng thực, hệ thống CẢNH BÁO (không chặn cứng) và nêu rõ 'tập quán, không phải hạn thực'
• Quy tắc 1/3 hay 1/2 lấy theo cấu hình từng khách</t>
    </r>
  </si>
  <si>
    <t xml:space="preserve">FE-05-04, FE-03-04, FE-11-03</t>
  </si>
  <si>
    <t xml:space="preserve">US-04</t>
  </si>
  <si>
    <t xml:space="preserve">Quản trị viên / QA</t>
  </si>
  <si>
    <r>
      <rPr>
        <sz val="10"/>
        <rFont val="Arial"/>
        <family val="0"/>
        <charset val="1"/>
      </rPr>
      <t xml:space="preserve">cấu hình mỗi SKU dùng </t>
    </r>
    <r>
      <rPr>
        <sz val="10"/>
        <rFont val="Noto Sans CJK SC"/>
        <family val="2"/>
      </rPr>
      <t xml:space="preserve">賞味期限 </t>
    </r>
    <r>
      <rPr>
        <sz val="10"/>
        <rFont val="Arial"/>
        <family val="0"/>
        <charset val="1"/>
      </rPr>
      <t xml:space="preserve">hay </t>
    </r>
    <r>
      <rPr>
        <sz val="10"/>
        <rFont val="Noto Sans CJK SC"/>
        <family val="2"/>
      </rPr>
      <t xml:space="preserve">消費期限</t>
    </r>
  </si>
  <si>
    <t xml:space="preserve">hệ thống áp đúng hành vi cảnh báo theo bản chất pháp lý</t>
  </si>
  <si>
    <r>
      <rPr>
        <sz val="10"/>
        <rFont val="Arial"/>
        <family val="0"/>
        <charset val="1"/>
      </rPr>
      <t xml:space="preserve">• Mỗi SKU chọn đúng 1 loại hạn
• SKU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(use-by) có ngưỡng cảnh báo cận hạn chặt hơn và không áp quy tắc 1/3 kiểu </t>
    </r>
    <r>
      <rPr>
        <sz val="10"/>
        <rFont val="Noto Sans CJK SC"/>
        <family val="2"/>
      </rPr>
      <t xml:space="preserve">賞味期限
• </t>
    </r>
    <r>
      <rPr>
        <sz val="10"/>
        <rFont val="Arial"/>
        <family val="0"/>
        <charset val="1"/>
      </rPr>
      <t xml:space="preserve">Thay đổi loại hạn được ghi audit log</t>
    </r>
  </si>
  <si>
    <t xml:space="preserve">US-05</t>
  </si>
  <si>
    <t xml:space="preserve">Nhân viên QA</t>
  </si>
  <si>
    <t xml:space="preserve">nhận cảnh báo cận hạn với ngưỡng khác nhau theo loại hạn</t>
  </si>
  <si>
    <r>
      <rPr>
        <sz val="10"/>
        <rFont val="Arial"/>
        <family val="0"/>
        <charset val="1"/>
      </rPr>
      <t xml:space="preserve">ưu tiên xử lý hàng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trước</t>
    </r>
  </si>
  <si>
    <r>
      <rPr>
        <sz val="10"/>
        <rFont val="Arial"/>
        <family val="0"/>
        <charset val="1"/>
      </rPr>
      <t xml:space="preserve">• Danh sách cận hạn lọc theo loại hạn &amp; khu nhiệt
• Ngưỡng ngày cảnh báo cấu hình riêng cho </t>
    </r>
    <r>
      <rPr>
        <sz val="10"/>
        <rFont val="Noto Sans CJK SC"/>
        <family val="2"/>
      </rPr>
      <t xml:space="preserve">賞味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消費</t>
    </r>
  </si>
  <si>
    <t xml:space="preserve">US-06</t>
  </si>
  <si>
    <t xml:space="preserve">Quản trị viên</t>
  </si>
  <si>
    <t xml:space="preserve">cấu hình ngưỡng 3 dải nhiệt theo công bố của Yuki</t>
  </si>
  <si>
    <t xml:space="preserve">hệ thống kiểm nhiệt theo đúng chuẩn công ty, không theo chuẩn chung</t>
  </si>
  <si>
    <t xml:space="preserve">• Nhập được ngưỡng min/max cho từng dải (Thường/Mát/Đông) và theo nhóm SKU đặc biệt
• Mọi kiểm tra nhiệt (nhập/xuất/giám sát) dùng ngưỡng cấu hình này</t>
  </si>
  <si>
    <t xml:space="preserve">US-07</t>
  </si>
  <si>
    <t xml:space="preserve">ghi nhiệt độ hàng khi nhận và được cảnh báo nếu vượt ngưỡng</t>
  </si>
  <si>
    <t xml:space="preserve">bảo đảm chuỗi lạnh ngay từ khâu nhập</t>
  </si>
  <si>
    <t xml:space="preserve">• Bắt buộc nhập nhiệt khi tạo phiếu nhập
• Nếu nhiệt vượt ngưỡng dải nhiệt → cảnh báo &amp; yêu cầu xử lý/ghi chú</t>
  </si>
  <si>
    <t xml:space="preserve">US-08</t>
  </si>
  <si>
    <t xml:space="preserve">import CSV nhiệt độ từ data logger và nhận cảnh báo khi lệch ngưỡng</t>
  </si>
  <si>
    <t xml:space="preserve">giám sát chuỗi lạnh liên tục phục vụ HACCP</t>
  </si>
  <si>
    <t xml:space="preserve">• Import CSV định kỳ, báo lỗi dòng sai định dạng
• Sinh cảnh báo &amp; nhật ký sự cố khi nhiệt vượt ngưỡng theo khu/thời gian</t>
  </si>
  <si>
    <t xml:space="preserve">FE-07-01, FE-07-03</t>
  </si>
  <si>
    <t xml:space="preserve">US-09</t>
  </si>
  <si>
    <t xml:space="preserve">Nhân viên QA/HACCP</t>
  </si>
  <si>
    <t xml:space="preserve">ghi nhật ký HACCP theo biểu mẫu và xuất báo cáo tuân thủ</t>
  </si>
  <si>
    <t xml:space="preserve">đáp ứng nghĩa vụ ghi chép bắt buộc từ 6/2021</t>
  </si>
  <si>
    <t xml:space="preserve">• Ghi nhật ký theo CCP &amp; lịch; không cho sửa sau khi chốt (lưu vết)
• Xuất báo cáo tuân thủ theo kỳ; mọi thay đổi có audit log</t>
  </si>
  <si>
    <t xml:space="preserve">FE-08-02, FE-08-03, FE-13-02</t>
  </si>
  <si>
    <t xml:space="preserve">US-10</t>
  </si>
  <si>
    <t xml:space="preserve">truy xuất bắt buộc cho gạo &amp; thịt bò</t>
  </si>
  <si>
    <r>
      <rPr>
        <sz val="10"/>
        <rFont val="Arial"/>
        <family val="0"/>
        <charset val="1"/>
      </rPr>
      <t xml:space="preserve">tuân thủ </t>
    </r>
    <r>
      <rPr>
        <sz val="10"/>
        <rFont val="Noto Sans CJK SC"/>
        <family val="2"/>
      </rPr>
      <t xml:space="preserve">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牛トレーサビリティ法</t>
    </r>
  </si>
  <si>
    <t xml:space="preserve">• SKU gạo/bò bắt buộc có thông tin truy xuất đầy đủ mới cho nhập/xuất
• Xuất được báo cáo truy xuất theo định dạng luật yêu cầu</t>
  </si>
  <si>
    <t xml:space="preserve">FE-03-05, FE-09-03</t>
  </si>
  <si>
    <t xml:space="preserve">US-11</t>
  </si>
  <si>
    <t xml:space="preserve">truy vết xuôi &amp; ngược một lô bất kỳ</t>
  </si>
  <si>
    <t xml:space="preserve">xử lý thu hồi/sự cố nhanh</t>
  </si>
  <si>
    <t xml:space="preserve">• Từ lô → ra mọi đơn giao/khách đã nhận (xuôi)
• Từ đơn giao/khách → ra lô &amp; nhà cung cấp (ngược)</t>
  </si>
  <si>
    <t xml:space="preserve">FE-09-01, FE-09-02</t>
  </si>
  <si>
    <t xml:space="preserve">US-12</t>
  </si>
  <si>
    <t xml:space="preserve">được hệ thống kiểm ràng buộc giờ lái khi lập lịch</t>
  </si>
  <si>
    <t xml:space="preserve">lịch không vi phạm quy định 2024</t>
  </si>
  <si>
    <r>
      <rPr>
        <sz val="10"/>
        <rFont val="Arial"/>
        <family val="0"/>
        <charset val="1"/>
      </rPr>
      <t xml:space="preserve">• Kiểm 960h/năm tích lũy của tài xế, </t>
    </r>
    <r>
      <rPr>
        <sz val="10"/>
        <rFont val="Noto Sans CJK SC"/>
        <family val="2"/>
      </rPr>
      <t xml:space="preserve">拘束時間</t>
    </r>
    <r>
      <rPr>
        <sz val="10"/>
        <rFont val="Arial"/>
        <family val="0"/>
        <charset val="1"/>
      </rPr>
      <t xml:space="preserve">/ca, </t>
    </r>
    <r>
      <rPr>
        <sz val="10"/>
        <rFont val="Noto Sans CJK SC"/>
        <family val="2"/>
      </rPr>
      <t xml:space="preserve">連続運転時間</t>
    </r>
    <r>
      <rPr>
        <sz val="10"/>
        <rFont val="Arial"/>
        <family val="0"/>
        <charset val="1"/>
      </rPr>
      <t xml:space="preserve">, nghỉ giữa ca
• Lịch vi phạm bị cảnh báo rõ ràng và chặn chốt cho đến khi điều chỉnh
• Hiển thị giờ lái còn lại của từng tài xế</t>
    </r>
  </si>
  <si>
    <t xml:space="preserve">FE-10-02, FE-10-03</t>
  </si>
  <si>
    <t xml:space="preserve">US-13</t>
  </si>
  <si>
    <t xml:space="preserve">tạo lịch giao, gán xe/tài xế khớp dải nhiệt &amp; tải trọng</t>
  </si>
  <si>
    <t xml:space="preserve">điều phối giao hàng hiệu quả &amp; an toàn chuỗi lạnh</t>
  </si>
  <si>
    <t xml:space="preserve">• Gom đơn theo tuyến/ngày; gán xe/tài xế
• Cảnh báo nếu dải nhiệt xe không khớp hàng hoặc quá tải trọng</t>
  </si>
  <si>
    <t xml:space="preserve">FE-10-01, FE-10-04</t>
  </si>
  <si>
    <t xml:space="preserve">US-14</t>
  </si>
  <si>
    <t xml:space="preserve">xem lịch sử giao theo từng khách</t>
  </si>
  <si>
    <r>
      <rPr>
        <sz val="10"/>
        <rFont val="Arial"/>
        <family val="0"/>
        <charset val="1"/>
      </rPr>
      <t xml:space="preserve">làm cơ sở cho kiểm tra </t>
    </r>
    <r>
      <rPr>
        <sz val="10"/>
        <rFont val="Noto Sans CJK SC"/>
        <family val="2"/>
      </rPr>
      <t xml:space="preserve">日付逆転 </t>
    </r>
    <r>
      <rPr>
        <sz val="10"/>
        <rFont val="Arial"/>
        <family val="0"/>
        <charset val="1"/>
      </rPr>
      <t xml:space="preserve">và chăm sóc khách</t>
    </r>
  </si>
  <si>
    <t xml:space="preserve">• Lọc lịch sử giao theo khách/SKU/khoảng thời gian
• Mỗi dòng gồm lô, hạn dùng, ngày giao</t>
  </si>
  <si>
    <t xml:space="preserve">US-15</t>
  </si>
  <si>
    <t xml:space="preserve">cấu hình quy tắc riêng theo khách (1/3 vs 1/2, dải nhiệt, khung giờ)</t>
  </si>
  <si>
    <t xml:space="preserve">áp đúng yêu cầu từng retailer</t>
  </si>
  <si>
    <t xml:space="preserve">• Cấu hình lưu theo khách và được các nghiệp vụ xuất/giao áp dụng
• Thay đổi có hiệu lực cho đơn mới, ghi audit log</t>
  </si>
  <si>
    <t xml:space="preserve">FE-11-03, FE-03-04</t>
  </si>
  <si>
    <t xml:space="preserve">US-16</t>
  </si>
  <si>
    <t xml:space="preserve">xem audit log mọi thao tác quan trọng</t>
  </si>
  <si>
    <t xml:space="preserve">phục vụ HACCP, truy xuất &amp; kiểm soát nội bộ</t>
  </si>
  <si>
    <t xml:space="preserve">• Ghi lại ai/khi nào/thay đổi gì với dữ liệu nhạy cảm (hạn, lịch, nhiệt, cấu hình)
• Lọc &amp; xuất audit log theo đối tượng/thời gian</t>
  </si>
  <si>
    <t xml:space="preserve">Deliverable 6 — Estimate effort + WBS (theo tiền đề giả định)</t>
  </si>
  <si>
    <t xml:space="preserve">Đơn vị: MD (man-day, 8h). Build suy từ danh sách màn hình (sheet 04) + hạng mục engine. Ô nền vàng = giả định chỉnh được.</t>
  </si>
  <si>
    <t xml:space="preserve">A. Đơn giá theo độ phức tạp màn hình (MD/màn hình) — ô vàng chỉnh được</t>
  </si>
  <si>
    <t xml:space="preserve">Đơn giá (MD)</t>
  </si>
  <si>
    <t xml:space="preserve">Số màn hình</t>
  </si>
  <si>
    <t xml:space="preserve">Thành tiền (MD)</t>
  </si>
  <si>
    <t xml:space="preserve">Đơn giản</t>
  </si>
  <si>
    <t xml:space="preserve">Trung bình</t>
  </si>
  <si>
    <t xml:space="preserve">Phức tạp</t>
  </si>
  <si>
    <t xml:space="preserve">Cộng Build theo màn hình</t>
  </si>
  <si>
    <t xml:space="preserve">B. Hạng mục engine / xử lý phi-màn-hình</t>
  </si>
  <si>
    <t xml:space="preserve">Hạng mục</t>
  </si>
  <si>
    <t xml:space="preserve">Function</t>
  </si>
  <si>
    <t xml:space="preserve">MD</t>
  </si>
  <si>
    <t xml:space="preserve">ENG-01</t>
  </si>
  <si>
    <r>
      <rPr>
        <sz val="10"/>
        <rFont val="Arial"/>
        <family val="0"/>
        <charset val="1"/>
      </rPr>
      <t xml:space="preserve">Logic FIFO + </t>
    </r>
    <r>
      <rPr>
        <sz val="10"/>
        <rFont val="Noto Sans CJK SC"/>
        <family val="2"/>
      </rPr>
      <t xml:space="preserve">日付逆転 </t>
    </r>
    <r>
      <rPr>
        <sz val="10"/>
        <rFont val="Arial"/>
        <family val="0"/>
        <charset val="1"/>
      </rPr>
      <t xml:space="preserve">(so lịch sử khách)</t>
    </r>
  </si>
  <si>
    <t xml:space="preserve">F05/F11</t>
  </si>
  <si>
    <t xml:space="preserve">ENG-02</t>
  </si>
  <si>
    <r>
      <rPr>
        <sz val="10"/>
        <rFont val="Arial"/>
        <family val="0"/>
        <charset val="1"/>
      </rPr>
      <t xml:space="preserve">Engine kiểm ràng buộc giờ lái 2024 (960h/</t>
    </r>
    <r>
      <rPr>
        <sz val="10"/>
        <rFont val="Noto Sans CJK SC"/>
        <family val="2"/>
      </rPr>
      <t xml:space="preserve">拘束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連続運転</t>
    </r>
    <r>
      <rPr>
        <sz val="10"/>
        <rFont val="Arial"/>
        <family val="0"/>
        <charset val="1"/>
      </rPr>
      <t xml:space="preserve">)</t>
    </r>
  </si>
  <si>
    <t xml:space="preserve">ENG-03</t>
  </si>
  <si>
    <t xml:space="preserve">Import &amp; chuẩn hóa CSV data logger + cảnh báo</t>
  </si>
  <si>
    <t xml:space="preserve">ENG-04</t>
  </si>
  <si>
    <t xml:space="preserve">Engine truy xuất xuôi/ngược + báo cáo gạo/bò</t>
  </si>
  <si>
    <t xml:space="preserve">ENG-05</t>
  </si>
  <si>
    <t xml:space="preserve">Cấu hình &amp; áp quy tắc hạn dùng (2 loại) + 1/3,1/2</t>
  </si>
  <si>
    <t xml:space="preserve">F03/F05</t>
  </si>
  <si>
    <t xml:space="preserve">ENG-06</t>
  </si>
  <si>
    <t xml:space="preserve">HACCP record &amp; report engine (lưu vết)</t>
  </si>
  <si>
    <t xml:space="preserve">ENG-07</t>
  </si>
  <si>
    <t xml:space="preserve">Framework thông báo/cảnh báo</t>
  </si>
  <si>
    <t xml:space="preserve">F06/F07</t>
  </si>
  <si>
    <t xml:space="preserve">ENG-08</t>
  </si>
  <si>
    <t xml:space="preserve">Di trú dữ liệu (Excel/phần mềm cũ)</t>
  </si>
  <si>
    <t xml:space="preserve">ENG-09</t>
  </si>
  <si>
    <t xml:space="preserve">Nền Auth/RBAC/Audit log</t>
  </si>
  <si>
    <t xml:space="preserve">ENG-10</t>
  </si>
  <si>
    <t xml:space="preserve">Tích hợp đơn CSV (EDI tùy chọn Phase 2)</t>
  </si>
  <si>
    <t xml:space="preserve">Cộng Engine</t>
  </si>
  <si>
    <t xml:space="preserve">C. WBS — các pha khác (ngoài build)</t>
  </si>
  <si>
    <t xml:space="preserve">Mã</t>
  </si>
  <si>
    <t xml:space="preserve">Pha / hoạt động</t>
  </si>
  <si>
    <t xml:space="preserve">P1</t>
  </si>
  <si>
    <t xml:space="preserve">Phân tích yêu cầu / BA (requirement definition)</t>
  </si>
  <si>
    <t xml:space="preserve">P2</t>
  </si>
  <si>
    <t xml:space="preserve">Thiết kế cơ bản / basic design (DB, kiến trúc, màn hình tổng)</t>
  </si>
  <si>
    <t xml:space="preserve">P5</t>
  </si>
  <si>
    <t xml:space="preserve">Integration test</t>
  </si>
  <si>
    <t xml:space="preserve">P6</t>
  </si>
  <si>
    <t xml:space="preserve">System test</t>
  </si>
  <si>
    <t xml:space="preserve">P7</t>
  </si>
  <si>
    <t xml:space="preserve">Hỗ trợ UAT</t>
  </si>
  <si>
    <t xml:space="preserve">P8</t>
  </si>
  <si>
    <t xml:space="preserve">Hạ tầng / DevOps / CI-CD / môi trường</t>
  </si>
  <si>
    <t xml:space="preserve">Cộng các pha khác</t>
  </si>
  <si>
    <t xml:space="preserve">D. Tổng hợp effort (Phase 1 — v1)</t>
  </si>
  <si>
    <t xml:space="preserve">Build (màn hình + engine)</t>
  </si>
  <si>
    <t xml:space="preserve">Thiết kế + Test + Hạ tầng (các pha khác)</t>
  </si>
  <si>
    <t xml:space="preserve">Cộng lõi (core)</t>
  </si>
  <si>
    <t xml:space="preserve">PM / PMO (×15% core)</t>
  </si>
  <si>
    <t xml:space="preserve">Cộng (core + PM)</t>
  </si>
  <si>
    <t xml:space="preserve">Dự phòng / contingency (×10%)</t>
  </si>
  <si>
    <t xml:space="preserve">TỔNG EFFORT (Phase 1 — v1)</t>
  </si>
  <si>
    <t xml:space="preserve">Quy đổi ≈ người-tháng (÷20 MD)</t>
  </si>
  <si>
    <t xml:space="preserve">E. Tùy chọn Phase 2 (chỉ định hướng — KHÔNG nằm trong tổng Phase 1)</t>
  </si>
  <si>
    <t xml:space="preserve">Tối ưu tuyến tự động (routing optimization)</t>
  </si>
  <si>
    <t xml:space="preserve">25–40</t>
  </si>
  <si>
    <t xml:space="preserve">Tích hợp EDI retailer (mapping từng đối tác)</t>
  </si>
  <si>
    <t xml:space="preserve">15–40</t>
  </si>
  <si>
    <t xml:space="preserve">App handy-terminal / offline-sync</t>
  </si>
  <si>
    <t xml:space="preserve">20–35</t>
  </si>
  <si>
    <t xml:space="preserve">API nội bộ mở rộng / tích hợp realtime</t>
  </si>
  <si>
    <t xml:space="preserve">8–15</t>
  </si>
  <si>
    <t xml:space="preserve">Truy xuất mở rộng toàn bộ SKU</t>
  </si>
  <si>
    <t xml:space="preserve">5–10</t>
  </si>
  <si>
    <t xml:space="preserve">F. Tiền đề / giả định của estimate</t>
  </si>
  <si>
    <t xml:space="preserve">• Phạm vi v1 theo function/feature/màn hình ở deliverable 2–4; feature 'Could' (routing optimization, API, điều chuyển) xếp Phase 2.</t>
  </si>
  <si>
    <t xml:space="preserve">• Chỉ KIỂM TRA ràng buộc giờ lái + gán tuyến thủ công (chưa tối ưu tuyến tự động) — xem Q-01.</t>
  </si>
  <si>
    <t xml:space="preserve">• Tích hợp nhiệt độ qua CSV 1 định dạng; đơn hàng nhập tay + CSV; EDI là Phase 2 — Q-02, Q-03.</t>
  </si>
  <si>
    <t xml:space="preserve">• Triển khai cloud (vùng Nhật) — Q-04. On-prem sẽ đánh giá lại.</t>
  </si>
  <si>
    <t xml:space="preserve">• Web responsive + máy quét mã vạch; không có app handy-terminal/offline — Q-09.</t>
  </si>
  <si>
    <t xml:space="preserve">• 1 MD = 1 người-ngày (8h). Màn hình S/M/C = 2.5 / 4.5 / 9.0 MD (đã gồm detailed design + code + unit test).</t>
  </si>
  <si>
    <r>
      <rPr>
        <sz val="9"/>
        <rFont val="Arial"/>
        <family val="0"/>
        <charset val="1"/>
      </rPr>
      <t xml:space="preserve">• Di trú: master + tồn hiện tại + 6–12 tháng lịch sử giao (cho </t>
    </r>
    <r>
      <rPr>
        <sz val="9"/>
        <rFont val="Noto Sans CJK SC"/>
        <family val="2"/>
      </rPr>
      <t xml:space="preserve">日付逆転</t>
    </r>
    <r>
      <rPr>
        <sz val="9"/>
        <rFont val="Arial"/>
        <family val="0"/>
        <charset val="1"/>
      </rPr>
      <t xml:space="preserve">) — Q-07.</t>
    </r>
  </si>
  <si>
    <t xml:space="preserve">• Yuki cung cấp bộ CCP/biểu mẫu HACCP; Sun* số hóa — Q-10.</t>
  </si>
  <si>
    <t xml:space="preserve">• Chưa gồm chi phí license bên thứ ba (nếu có) và phần cứng kho.</t>
  </si>
  <si>
    <t xml:space="preserve">• Bảo hành 2 tháng sau go-live; gói bảo trì/vận hành báo giá riêng — Q-16.</t>
  </si>
  <si>
    <t xml:space="preserve">Deliverable — Cost sheet (đội hình + chi phí)</t>
  </si>
  <si>
    <t xml:space="preserve">Tổng MD lấy từ sheet 06. Đơn giá ¥/MD là GIẢ ĐỊNH tham khảo (ô vàng) — sales &amp; khách xác nhận.</t>
  </si>
  <si>
    <t xml:space="preserve">Tổng effort (MD) — từ sheet 06</t>
  </si>
  <si>
    <t xml:space="preserve">Vai trò</t>
  </si>
  <si>
    <t xml:space="preserve">Tỉ lệ MD</t>
  </si>
  <si>
    <t xml:space="preserve">MD phân bổ</t>
  </si>
  <si>
    <t xml:space="preserve">Đơn giá (¥/MD)</t>
  </si>
  <si>
    <t xml:space="preserve">Chi phí (¥)</t>
  </si>
  <si>
    <t xml:space="preserve">PM / PMO</t>
  </si>
  <si>
    <t xml:space="preserve">BrSE (cầu nối JP)</t>
  </si>
  <si>
    <t xml:space="preserve">BA / Comtor</t>
  </si>
  <si>
    <t xml:space="preserve">Tech Lead</t>
  </si>
  <si>
    <t xml:space="preserve">Developer (FE/BE)</t>
  </si>
  <si>
    <t xml:space="preserve">QA / Tester</t>
  </si>
  <si>
    <t xml:space="preserve">Infra / DevOps</t>
  </si>
  <si>
    <t xml:space="preserve">CỘNG</t>
  </si>
  <si>
    <t xml:space="preserve">Đơn giá bình quân (¥/MD)</t>
  </si>
  <si>
    <t xml:space="preserve">Tỉ giá JPY→VND (giả định)</t>
  </si>
  <si>
    <t xml:space="preserve">Tổng chi phí quy đổi (VND)</t>
  </si>
  <si>
    <t xml:space="preserve">Giả định chi phí</t>
  </si>
  <si>
    <t xml:space="preserve">• Đơn giá là GIẢ ĐỊNH tham khảo (offshore Việt Nam, ¥/MD), sales &amp; khách xác nhận lại.</t>
  </si>
  <si>
    <t xml:space="preserve">• Tổng MD lấy từ bản Estimate (sheet 06).</t>
  </si>
  <si>
    <t xml:space="preserve">• Tỉ giá tham khảo để quy đổi: 1 JPY ≈ 170 VND (cập nhật khi báo giá).</t>
  </si>
  <si>
    <t xml:space="preserve">• Chưa gồm thuế, chi phí đi lại/onsite, license bên thứ ba, phần cứng.</t>
  </si>
  <si>
    <t xml:space="preserve">• Chi phí hạ tầng cloud ước tính riêng theo tháng (không nằm trong effort).</t>
  </si>
  <si>
    <t xml:space="preserve">Deliverable 7 — Rủi ro sơ bộ</t>
  </si>
  <si>
    <t xml:space="preserve">Gồm các BẪY đọc-hiểu nghiệp vụ Nhật (R-01..R-06). Mức = Khả năng × Tác động.</t>
  </si>
  <si>
    <t xml:space="preserve">Rủi ro</t>
  </si>
  <si>
    <t xml:space="preserve">Nhóm</t>
  </si>
  <si>
    <t xml:space="preserve">Khả năng</t>
  </si>
  <si>
    <t xml:space="preserve">Tác động</t>
  </si>
  <si>
    <t xml:space="preserve">Mức</t>
  </si>
  <si>
    <t xml:space="preserve">Chiến lược giảm thiểu</t>
  </si>
  <si>
    <t xml:space="preserve">Ảnh hưởng estimate</t>
  </si>
  <si>
    <t xml:space="preserve">R-01</t>
  </si>
  <si>
    <r>
      <rPr>
        <sz val="10"/>
        <rFont val="Arial"/>
        <family val="0"/>
        <charset val="1"/>
      </rPr>
      <t xml:space="preserve">Nhầm </t>
    </r>
    <r>
      <rPr>
        <sz val="10"/>
        <rFont val="Noto Sans CJK SC"/>
        <family val="2"/>
      </rPr>
      <t xml:space="preserve">賞味期限 </t>
    </r>
    <r>
      <rPr>
        <sz val="10"/>
        <rFont val="Arial"/>
        <family val="0"/>
        <charset val="1"/>
      </rPr>
      <t xml:space="preserve">(best-before) với </t>
    </r>
    <r>
      <rPr>
        <sz val="10"/>
        <rFont val="Noto Sans CJK SC"/>
        <family val="2"/>
      </rPr>
      <t xml:space="preserve">消費期限 </t>
    </r>
    <r>
      <rPr>
        <sz val="10"/>
        <rFont val="Arial"/>
        <family val="0"/>
        <charset val="1"/>
      </rPr>
      <t xml:space="preserve">(use-by) khi thiết kế cảnh báo</t>
    </r>
  </si>
  <si>
    <t xml:space="preserve">Đọc-hiểu nghiệp vụ</t>
  </si>
  <si>
    <t xml:space="preserve">TB</t>
  </si>
  <si>
    <t xml:space="preserve">Cao</t>
  </si>
  <si>
    <t xml:space="preserve">Tách cấu hình loại hạn theo SKU (FE-03-02); review với khách; viết test riêng 2 luồng.</t>
  </si>
  <si>
    <t xml:space="preserve">Thiết kế lại logic cảnh báo nếu phát hiện muộn.</t>
  </si>
  <si>
    <t xml:space="preserve">R-02</t>
  </si>
  <si>
    <t xml:space="preserve">Áp quy tắc 1/3 như HẠN DÙNG THỰC → chặn giao sai</t>
  </si>
  <si>
    <r>
      <rPr>
        <sz val="10"/>
        <rFont val="Arial"/>
        <family val="0"/>
        <charset val="1"/>
      </rPr>
      <t xml:space="preserve">Phân biệt rõ </t>
    </r>
    <r>
      <rPr>
        <sz val="10"/>
        <rFont val="Noto Sans CJK SC"/>
        <family val="2"/>
      </rPr>
      <t xml:space="preserve">納品期限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販売期限 </t>
    </r>
    <r>
      <rPr>
        <sz val="10"/>
        <rFont val="Arial"/>
        <family val="0"/>
        <charset val="1"/>
      </rPr>
      <t xml:space="preserve">(tập quán) vs hạn thực; 1/3 chỉ CẢNH BÁO, không chặn cứng (US-03).</t>
    </r>
  </si>
  <si>
    <t xml:space="preserve">Sai nghiệp vụ cốt lõi, rework lớn.</t>
  </si>
  <si>
    <t xml:space="preserve">R-03</t>
  </si>
  <si>
    <r>
      <rPr>
        <sz val="10"/>
        <rFont val="Arial"/>
        <family val="0"/>
        <charset val="1"/>
      </rPr>
      <t xml:space="preserve">Hiểu sai </t>
    </r>
    <r>
      <rPr>
        <sz val="10"/>
        <rFont val="Noto Sans CJK SC"/>
        <family val="2"/>
      </rPr>
      <t xml:space="preserve">日付逆転</t>
    </r>
    <r>
      <rPr>
        <sz val="10"/>
        <rFont val="Arial"/>
        <family val="0"/>
        <charset val="1"/>
      </rPr>
      <t xml:space="preserve">: so với ngày hôm nay thay vì LỊCH SỬ từng khách</t>
    </r>
  </si>
  <si>
    <t xml:space="preserve">Thiết kế dựa trên lịch sử giao theo khách (FE-11-02); test case theo khách; chốt với khách sớm.</t>
  </si>
  <si>
    <t xml:space="preserve">Sai lõi, ảnh hưởng ENG-01 &amp; migration lịch sử.</t>
  </si>
  <si>
    <t xml:space="preserve">R-04</t>
  </si>
  <si>
    <t xml:space="preserve">Suy ngưỡng 3 dải nhiệt theo chuẩn chung thay vì công bố của Yuki</t>
  </si>
  <si>
    <t xml:space="preserve">Ngưỡng cấu hình được (FE-02-01); lấy bảng công bố của Yuki làm dữ liệu khởi tạo.</t>
  </si>
  <si>
    <t xml:space="preserve">Cấu hình lại; ít rework nếu đã tham số hóa.</t>
  </si>
  <si>
    <t xml:space="preserve">R-05</t>
  </si>
  <si>
    <t xml:space="preserve">Bỏ sót ràng buộc giờ lái 2024 khi thiết kế lập lịch</t>
  </si>
  <si>
    <r>
      <rPr>
        <sz val="10"/>
        <rFont val="Arial"/>
        <family val="0"/>
        <charset val="1"/>
      </rPr>
      <t xml:space="preserve">Đưa kiểm ràng buộc vào lõi engine (ENG-02); xác nhận chi tiết </t>
    </r>
    <r>
      <rPr>
        <sz val="10"/>
        <rFont val="Noto Sans CJK SC"/>
        <family val="2"/>
      </rPr>
      <t xml:space="preserve">改善基準告示 </t>
    </r>
    <r>
      <rPr>
        <sz val="10"/>
        <rFont val="Arial"/>
        <family val="0"/>
        <charset val="1"/>
      </rPr>
      <t xml:space="preserve">với khách.</t>
    </r>
  </si>
  <si>
    <t xml:space="preserve">Phải bổ sung engine, trễ tiến độ.</t>
  </si>
  <si>
    <t xml:space="preserve">R-06</t>
  </si>
  <si>
    <t xml:space="preserve">Hiểu truy xuất là bắt buộc cho TOÀN BỘ SKU → over-engineer</t>
  </si>
  <si>
    <t xml:space="preserve">Chỉ bắt buộc gạo/bò (FE-09-03); phần còn lại tùy chọn (FE-09-04).</t>
  </si>
  <si>
    <t xml:space="preserve">Phình phạm vi, tăng effort không cần thiết.</t>
  </si>
  <si>
    <t xml:space="preserve">R-07</t>
  </si>
  <si>
    <t xml:space="preserve">Scope creep: tối ưu tuyến tự động (routing) bị coi là mặc định</t>
  </si>
  <si>
    <t xml:space="preserve">Phạm vi</t>
  </si>
  <si>
    <t xml:space="preserve">Chốt Q-01 sớm; để routing ở Phase 2; ghi rõ giả định trong hợp đồng.</t>
  </si>
  <si>
    <t xml:space="preserve">+25–40 MD nếu vào Phase 1.</t>
  </si>
  <si>
    <t xml:space="preserve">R-08</t>
  </si>
  <si>
    <t xml:space="preserve">Định dạng/nguồn dữ liệu nhiệt độ (logger) chưa rõ</t>
  </si>
  <si>
    <t xml:space="preserve">Tích hợp</t>
  </si>
  <si>
    <t xml:space="preserve">Chốt Q-02; thiết kế adapter CSV; mẫu dữ liệu thật sớm.</t>
  </si>
  <si>
    <t xml:space="preserve">+8–20 MD nếu nhiều định dạng/API.</t>
  </si>
  <si>
    <t xml:space="preserve">R-09</t>
  </si>
  <si>
    <t xml:space="preserve">Tích hợp EDI/đơn hàng retailer phức tạp hơn dự kiến</t>
  </si>
  <si>
    <t xml:space="preserve">Chốt Q-03; mặc định CSV; EDI tách Phase 2 &amp; báo giá riêng.</t>
  </si>
  <si>
    <t xml:space="preserve">+15–40 MD.</t>
  </si>
  <si>
    <t xml:space="preserve">R-10</t>
  </si>
  <si>
    <t xml:space="preserve">Dữ liệu Excel/phần mềm cũ bẩn, thiếu lịch sử giao</t>
  </si>
  <si>
    <t xml:space="preserve">Dữ liệu/Migration</t>
  </si>
  <si>
    <t xml:space="preserve">Khảo sát dữ liệu sớm (Q-07); công cụ làm sạch &amp; đối soát; khách tham gia nghiệm thu dữ liệu.</t>
  </si>
  <si>
    <t xml:space="preserve">+5–15 MD.</t>
  </si>
  <si>
    <t xml:space="preserve">R-11</t>
  </si>
  <si>
    <t xml:space="preserve">Khoảng cách ngôn ngữ/văn hóa JP–VN gây sai yêu cầu</t>
  </si>
  <si>
    <t xml:space="preserve">Giao tiếp</t>
  </si>
  <si>
    <t xml:space="preserve">BrSE + Comtor; biên bản xác nhận; demo định kỳ 2 tuần/lần.</t>
  </si>
  <si>
    <t xml:space="preserve">Trễ &amp; rework nếu thiếu BrSE.</t>
  </si>
  <si>
    <t xml:space="preserve">R-12</t>
  </si>
  <si>
    <t xml:space="preserve">Go-live đụng mùa cao điểm (T12)</t>
  </si>
  <si>
    <t xml:space="preserve">Tiến độ</t>
  </si>
  <si>
    <t xml:space="preserve">Lên lịch go-live trước T12; phân kỳ Phase 1/2; kế hoạch rollback.</t>
  </si>
  <si>
    <t xml:space="preserve">Rủi ro vận hành cao điểm.</t>
  </si>
  <si>
    <t xml:space="preserve">R-13</t>
  </si>
  <si>
    <t xml:space="preserve">Yêu cầu HACCP/biểu mẫu chưa chuẩn hóa phía khách</t>
  </si>
  <si>
    <t xml:space="preserve">Yêu cầu</t>
  </si>
  <si>
    <t xml:space="preserve">Chốt Q-10; nếu cần tư vấn thì tính thêm BA.</t>
  </si>
  <si>
    <t xml:space="preserve">+BA effort.</t>
  </si>
  <si>
    <t xml:space="preserve">R-14</t>
  </si>
  <si>
    <t xml:space="preserve">Hiệu năng truy vết/giám sát nhiệt khi dữ liệu lớn dần</t>
  </si>
  <si>
    <t xml:space="preserve">Phi chức năng</t>
  </si>
  <si>
    <t xml:space="preserve">Thấp</t>
  </si>
  <si>
    <t xml:space="preserve">Thiết kế index/tổng hợp; kiểm thử tải; lưu trữ phân kỳ.</t>
  </si>
  <si>
    <t xml:space="preserve">+ tối ưu nếu phát sinh.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</si>
</sst>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.0"/>
    <numFmt numFmtId="167" formatCode="0%"/>
    <numFmt numFmtId="168" formatCode="\¥#,##0"/>
    <numFmt numFmtId="169" formatCode="#,##0"/>
    <numFmt numFmtId="170" formatCode="#,##0&quot; ₫&quot;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i val="true"/>
      <sz val="9"/>
      <color rgb="FF333333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42029"/>
      <name val="Arial"/>
      <family val="0"/>
      <charset val="1"/>
    </font>
    <font>
      <sz val="10"/>
      <color rgb="FF0F513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664D03"/>
      <name val="Arial"/>
      <family val="0"/>
      <charset val="1"/>
    </font>
    <font>
      <b val="true"/>
      <sz val="9"/>
      <color rgb="FF664D03"/>
      <name val="Arial"/>
      <family val="0"/>
      <charset val="1"/>
    </font>
    <font>
      <b val="true"/>
      <sz val="10"/>
      <color rgb="FF41464B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sz val="11"/>
      <color rgb="FF0000FF"/>
      <name val="Arial"/>
      <family val="0"/>
      <charset val="1"/>
    </font>
    <font>
      <b val="true"/>
      <sz val="10"/>
      <color rgb="FF0F5132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CADCFC"/>
        <bgColor rgb="FFCFE2F3"/>
      </patternFill>
    </fill>
    <fill>
      <patternFill patternType="solid">
        <fgColor rgb="FF1C7293"/>
        <bgColor rgb="FF008080"/>
      </patternFill>
    </fill>
    <fill>
      <patternFill patternType="solid">
        <fgColor rgb="FFFFF3CD"/>
        <bgColor rgb="FFFFF2CC"/>
      </patternFill>
    </fill>
    <fill>
      <patternFill patternType="solid">
        <fgColor rgb="FFF2F4F7"/>
        <bgColor rgb="FFEAF1FB"/>
      </patternFill>
    </fill>
    <fill>
      <patternFill patternType="solid">
        <fgColor rgb="FFEAF1FB"/>
        <bgColor rgb="FFF2F4F7"/>
      </patternFill>
    </fill>
    <fill>
      <patternFill patternType="solid">
        <fgColor rgb="FFF8D7DA"/>
        <bgColor rgb="FFE2E3E5"/>
      </patternFill>
    </fill>
    <fill>
      <patternFill patternType="solid">
        <fgColor rgb="FFD1E7DD"/>
        <bgColor rgb="FFCFE2F3"/>
      </patternFill>
    </fill>
    <fill>
      <patternFill patternType="solid">
        <fgColor rgb="FFE2E3E5"/>
        <bgColor rgb="FFD1E7DD"/>
      </patternFill>
    </fill>
    <fill>
      <patternFill patternType="solid">
        <fgColor rgb="FFCFE2F3"/>
        <bgColor rgb="FFCADCFC"/>
      </patternFill>
    </fill>
    <fill>
      <patternFill patternType="solid">
        <fgColor rgb="FFFFF2CC"/>
        <bgColor rgb="FFFFF3CD"/>
      </patternFill>
    </fill>
    <fill>
      <patternFill patternType="solid">
        <fgColor rgb="FFFFF8E1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2D0"/>
      </left>
      <right style="thin">
        <color rgb="FFB8C2D0"/>
      </right>
      <top style="thin">
        <color rgb="FFB8C2D0"/>
      </top>
      <bottom style="thin">
        <color rgb="FFB8C2D0"/>
      </bottom>
      <diagonal/>
    </border>
    <border diagonalUp="false" diagonalDown="false">
      <left style="thin">
        <color rgb="FFB8C2D0"/>
      </left>
      <right/>
      <top style="thin">
        <color rgb="FFB8C2D0"/>
      </top>
      <bottom style="thin">
        <color rgb="FFB8C2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24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664D03"/>
      <rgbColor rgb="FF800080"/>
      <rgbColor rgb="FF1C7293"/>
      <rgbColor rgb="FFB8C2D0"/>
      <rgbColor rgb="FF808080"/>
      <rgbColor rgb="FF9999FF"/>
      <rgbColor rgb="FF993366"/>
      <rgbColor rgb="FFFFF8E1"/>
      <rgbColor rgb="FFEAF1FB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D1E7DD"/>
      <rgbColor rgb="FFFFF3CD"/>
      <rgbColor rgb="FFCFE2F3"/>
      <rgbColor rgb="FFFF99CC"/>
      <rgbColor rgb="FFE2E3E5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F5132"/>
      <rgbColor rgb="FF41464B"/>
      <rgbColor rgb="FF8420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28</v>
      </c>
    </row>
    <row r="14" customFormat="false" ht="23.85" hidden="false" customHeight="false" outlineLevel="0" collapsed="false">
      <c r="A14" s="5"/>
      <c r="B14" s="5" t="s">
        <v>29</v>
      </c>
      <c r="C14" s="5"/>
    </row>
    <row r="15" customFormat="false" ht="23.85" hidden="false" customHeight="false" outlineLevel="0" collapsed="false">
      <c r="A15" s="6" t="s">
        <v>30</v>
      </c>
      <c r="B15" s="6" t="s">
        <v>31</v>
      </c>
      <c r="C15" s="6" t="s">
        <v>32</v>
      </c>
    </row>
    <row r="16" customFormat="false" ht="26.85" hidden="false" customHeight="false" outlineLevel="0" collapsed="false">
      <c r="A16" s="6" t="s">
        <v>30</v>
      </c>
      <c r="B16" s="6" t="s">
        <v>33</v>
      </c>
      <c r="C16" s="7" t="s">
        <v>34</v>
      </c>
    </row>
    <row r="17" customFormat="false" ht="26.85" hidden="false" customHeight="false" outlineLevel="0" collapsed="false">
      <c r="A17" s="6" t="s">
        <v>30</v>
      </c>
      <c r="B17" s="7" t="s">
        <v>35</v>
      </c>
      <c r="C17" s="6" t="s">
        <v>36</v>
      </c>
    </row>
    <row r="18" customFormat="false" ht="41" hidden="false" customHeight="false" outlineLevel="0" collapsed="false">
      <c r="A18" s="6" t="s">
        <v>30</v>
      </c>
      <c r="B18" s="6" t="s">
        <v>37</v>
      </c>
      <c r="C18" s="7" t="s">
        <v>38</v>
      </c>
    </row>
    <row r="19" customFormat="false" ht="26.85" hidden="false" customHeight="false" outlineLevel="0" collapsed="false">
      <c r="A19" s="6" t="s">
        <v>30</v>
      </c>
      <c r="B19" s="6" t="s">
        <v>39</v>
      </c>
      <c r="C19" s="7" t="s">
        <v>40</v>
      </c>
    </row>
    <row r="20" customFormat="false" ht="26.85" hidden="false" customHeight="false" outlineLevel="0" collapsed="false">
      <c r="A20" s="6" t="s">
        <v>30</v>
      </c>
      <c r="B20" s="6" t="s">
        <v>41</v>
      </c>
      <c r="C20" s="6" t="s">
        <v>42</v>
      </c>
    </row>
    <row r="22" customFormat="false" ht="15" hidden="false" customHeight="false" outlineLevel="0" collapsed="false">
      <c r="A22" s="8"/>
      <c r="B22" s="8" t="s">
        <v>43</v>
      </c>
      <c r="C22" s="9" t="s">
        <v>44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6" min="5" style="0" width="40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46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0" t="s">
        <v>47</v>
      </c>
      <c r="B4" s="10" t="s">
        <v>48</v>
      </c>
      <c r="C4" s="10" t="s">
        <v>49</v>
      </c>
      <c r="D4" s="10" t="s">
        <v>50</v>
      </c>
      <c r="E4" s="10" t="s">
        <v>51</v>
      </c>
      <c r="F4" s="10" t="s">
        <v>52</v>
      </c>
    </row>
    <row r="5" customFormat="false" ht="38.05" hidden="false" customHeight="false" outlineLevel="0" collapsed="false">
      <c r="A5" s="4" t="s">
        <v>53</v>
      </c>
      <c r="B5" s="4" t="s">
        <v>54</v>
      </c>
      <c r="C5" s="4" t="s">
        <v>55</v>
      </c>
      <c r="D5" s="11" t="s">
        <v>56</v>
      </c>
      <c r="E5" s="4" t="s">
        <v>57</v>
      </c>
      <c r="F5" s="4" t="s">
        <v>58</v>
      </c>
    </row>
    <row r="6" customFormat="false" ht="23.85" hidden="false" customHeight="false" outlineLevel="0" collapsed="false">
      <c r="A6" s="4" t="s">
        <v>59</v>
      </c>
      <c r="B6" s="4" t="s">
        <v>60</v>
      </c>
      <c r="C6" s="4" t="s">
        <v>61</v>
      </c>
      <c r="D6" s="11" t="s">
        <v>56</v>
      </c>
      <c r="E6" s="4" t="s">
        <v>62</v>
      </c>
      <c r="F6" s="4" t="s">
        <v>63</v>
      </c>
    </row>
    <row r="7" customFormat="false" ht="26.85" hidden="false" customHeight="false" outlineLevel="0" collapsed="false">
      <c r="A7" s="4" t="s">
        <v>64</v>
      </c>
      <c r="B7" s="4" t="s">
        <v>65</v>
      </c>
      <c r="C7" s="4" t="s">
        <v>66</v>
      </c>
      <c r="D7" s="11" t="s">
        <v>56</v>
      </c>
      <c r="E7" s="4" t="s">
        <v>67</v>
      </c>
      <c r="F7" s="4" t="s">
        <v>68</v>
      </c>
    </row>
    <row r="8" customFormat="false" ht="23.85" hidden="false" customHeight="false" outlineLevel="0" collapsed="false">
      <c r="A8" s="4" t="s">
        <v>69</v>
      </c>
      <c r="B8" s="4" t="s">
        <v>70</v>
      </c>
      <c r="C8" s="4" t="s">
        <v>71</v>
      </c>
      <c r="D8" s="11" t="s">
        <v>56</v>
      </c>
      <c r="E8" s="4" t="s">
        <v>72</v>
      </c>
      <c r="F8" s="4" t="s">
        <v>73</v>
      </c>
    </row>
    <row r="9" customFormat="false" ht="23.85" hidden="false" customHeight="false" outlineLevel="0" collapsed="false">
      <c r="A9" s="4" t="s">
        <v>74</v>
      </c>
      <c r="B9" s="4" t="s">
        <v>75</v>
      </c>
      <c r="C9" s="4" t="s">
        <v>76</v>
      </c>
      <c r="D9" s="11" t="s">
        <v>56</v>
      </c>
      <c r="E9" s="4" t="s">
        <v>77</v>
      </c>
      <c r="F9" s="4" t="s">
        <v>78</v>
      </c>
    </row>
    <row r="10" customFormat="false" ht="23.85" hidden="false" customHeight="false" outlineLevel="0" collapsed="false">
      <c r="A10" s="4" t="s">
        <v>79</v>
      </c>
      <c r="B10" s="4" t="s">
        <v>80</v>
      </c>
      <c r="C10" s="4" t="s">
        <v>81</v>
      </c>
      <c r="D10" s="12" t="s">
        <v>82</v>
      </c>
      <c r="E10" s="4" t="s">
        <v>83</v>
      </c>
      <c r="F10" s="4" t="s">
        <v>84</v>
      </c>
    </row>
    <row r="11" customFormat="false" ht="38.05" hidden="false" customHeight="false" outlineLevel="0" collapsed="false">
      <c r="A11" s="4" t="s">
        <v>85</v>
      </c>
      <c r="B11" s="4" t="s">
        <v>86</v>
      </c>
      <c r="C11" s="4" t="s">
        <v>87</v>
      </c>
      <c r="D11" s="11" t="s">
        <v>56</v>
      </c>
      <c r="E11" s="4" t="s">
        <v>88</v>
      </c>
      <c r="F11" s="4" t="s">
        <v>89</v>
      </c>
    </row>
    <row r="12" customFormat="false" ht="23.85" hidden="false" customHeight="false" outlineLevel="0" collapsed="false">
      <c r="A12" s="4" t="s">
        <v>90</v>
      </c>
      <c r="B12" s="4" t="s">
        <v>91</v>
      </c>
      <c r="C12" s="4" t="s">
        <v>92</v>
      </c>
      <c r="D12" s="11" t="s">
        <v>56</v>
      </c>
      <c r="E12" s="4" t="s">
        <v>93</v>
      </c>
      <c r="F12" s="4" t="s">
        <v>94</v>
      </c>
    </row>
    <row r="13" customFormat="false" ht="23.85" hidden="false" customHeight="false" outlineLevel="0" collapsed="false">
      <c r="A13" s="4" t="s">
        <v>95</v>
      </c>
      <c r="B13" s="4" t="s">
        <v>96</v>
      </c>
      <c r="C13" s="4" t="s">
        <v>97</v>
      </c>
      <c r="D13" s="11" t="s">
        <v>56</v>
      </c>
      <c r="E13" s="4" t="s">
        <v>98</v>
      </c>
      <c r="F13" s="4" t="s">
        <v>99</v>
      </c>
    </row>
    <row r="14" customFormat="false" ht="23.85" hidden="false" customHeight="false" outlineLevel="0" collapsed="false">
      <c r="A14" s="4" t="s">
        <v>100</v>
      </c>
      <c r="B14" s="4" t="s">
        <v>101</v>
      </c>
      <c r="C14" s="4" t="s">
        <v>102</v>
      </c>
      <c r="D14" s="12" t="s">
        <v>82</v>
      </c>
      <c r="E14" s="4" t="s">
        <v>103</v>
      </c>
      <c r="F14" s="4" t="s">
        <v>104</v>
      </c>
    </row>
    <row r="15" customFormat="false" ht="23.85" hidden="false" customHeight="false" outlineLevel="0" collapsed="false">
      <c r="A15" s="4" t="s">
        <v>105</v>
      </c>
      <c r="B15" s="4" t="s">
        <v>106</v>
      </c>
      <c r="C15" s="4" t="s">
        <v>107</v>
      </c>
      <c r="D15" s="12" t="s">
        <v>82</v>
      </c>
      <c r="E15" s="4" t="s">
        <v>108</v>
      </c>
      <c r="F15" s="4" t="s">
        <v>109</v>
      </c>
    </row>
    <row r="16" customFormat="false" ht="23.85" hidden="false" customHeight="false" outlineLevel="0" collapsed="false">
      <c r="A16" s="4" t="s">
        <v>110</v>
      </c>
      <c r="B16" s="4" t="s">
        <v>111</v>
      </c>
      <c r="C16" s="4" t="s">
        <v>112</v>
      </c>
      <c r="D16" s="12" t="s">
        <v>82</v>
      </c>
      <c r="E16" s="4" t="s">
        <v>113</v>
      </c>
      <c r="F16" s="4" t="s">
        <v>114</v>
      </c>
    </row>
    <row r="17" customFormat="false" ht="23.85" hidden="false" customHeight="false" outlineLevel="0" collapsed="false">
      <c r="A17" s="4" t="s">
        <v>115</v>
      </c>
      <c r="B17" s="4" t="s">
        <v>116</v>
      </c>
      <c r="C17" s="4" t="s">
        <v>117</v>
      </c>
      <c r="D17" s="12" t="s">
        <v>82</v>
      </c>
      <c r="E17" s="4" t="s">
        <v>118</v>
      </c>
      <c r="F17" s="4" t="s">
        <v>119</v>
      </c>
    </row>
    <row r="18" customFormat="false" ht="23.85" hidden="false" customHeight="false" outlineLevel="0" collapsed="false">
      <c r="A18" s="4" t="s">
        <v>120</v>
      </c>
      <c r="B18" s="4" t="s">
        <v>121</v>
      </c>
      <c r="C18" s="4" t="s">
        <v>122</v>
      </c>
      <c r="D18" s="12" t="s">
        <v>82</v>
      </c>
      <c r="E18" s="4" t="s">
        <v>123</v>
      </c>
      <c r="F18" s="4" t="s">
        <v>124</v>
      </c>
    </row>
    <row r="19" customFormat="false" ht="23.85" hidden="false" customHeight="false" outlineLevel="0" collapsed="false">
      <c r="A19" s="4" t="s">
        <v>125</v>
      </c>
      <c r="B19" s="4" t="s">
        <v>126</v>
      </c>
      <c r="C19" s="4" t="s">
        <v>127</v>
      </c>
      <c r="D19" s="12" t="s">
        <v>82</v>
      </c>
      <c r="E19" s="4" t="s">
        <v>128</v>
      </c>
      <c r="F19" s="4" t="s">
        <v>129</v>
      </c>
    </row>
    <row r="20" customFormat="false" ht="23.85" hidden="false" customHeight="false" outlineLevel="0" collapsed="false">
      <c r="A20" s="4" t="s">
        <v>130</v>
      </c>
      <c r="B20" s="4" t="s">
        <v>131</v>
      </c>
      <c r="C20" s="4" t="s">
        <v>132</v>
      </c>
      <c r="D20" s="12" t="s">
        <v>82</v>
      </c>
      <c r="E20" s="4" t="s">
        <v>133</v>
      </c>
      <c r="F20" s="4" t="s">
        <v>134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85"/>
  </cols>
  <sheetData>
    <row r="1" customFormat="false" ht="25.5" hidden="false" customHeight="true" outlineLevel="0" collapsed="false">
      <c r="A1" s="1" t="s">
        <v>135</v>
      </c>
      <c r="B1" s="1"/>
      <c r="C1" s="1"/>
    </row>
    <row r="2" customFormat="false" ht="18" hidden="false" customHeight="true" outlineLevel="0" collapsed="false">
      <c r="A2" s="2" t="s">
        <v>136</v>
      </c>
      <c r="B2" s="2"/>
      <c r="C2" s="2"/>
    </row>
    <row r="4" customFormat="false" ht="30" hidden="false" customHeight="true" outlineLevel="0" collapsed="false">
      <c r="A4" s="10" t="s">
        <v>47</v>
      </c>
      <c r="B4" s="10" t="s">
        <v>137</v>
      </c>
      <c r="C4" s="10" t="s">
        <v>138</v>
      </c>
    </row>
    <row r="5" customFormat="false" ht="15" hidden="false" customHeight="false" outlineLevel="0" collapsed="false">
      <c r="A5" s="13" t="s">
        <v>139</v>
      </c>
      <c r="B5" s="4" t="s">
        <v>140</v>
      </c>
      <c r="C5" s="4" t="s">
        <v>141</v>
      </c>
    </row>
    <row r="6" customFormat="false" ht="15" hidden="false" customHeight="false" outlineLevel="0" collapsed="false">
      <c r="A6" s="13" t="s">
        <v>142</v>
      </c>
      <c r="B6" s="4" t="s">
        <v>143</v>
      </c>
      <c r="C6" s="4" t="s">
        <v>144</v>
      </c>
    </row>
    <row r="7" customFormat="false" ht="15" hidden="false" customHeight="false" outlineLevel="0" collapsed="false">
      <c r="A7" s="13" t="s">
        <v>145</v>
      </c>
      <c r="B7" s="4" t="s">
        <v>146</v>
      </c>
      <c r="C7" s="4" t="s">
        <v>147</v>
      </c>
    </row>
    <row r="8" customFormat="false" ht="15" hidden="false" customHeight="false" outlineLevel="0" collapsed="false">
      <c r="A8" s="13" t="s">
        <v>148</v>
      </c>
      <c r="B8" s="4" t="s">
        <v>149</v>
      </c>
      <c r="C8" s="4" t="s">
        <v>150</v>
      </c>
    </row>
    <row r="9" customFormat="false" ht="15" hidden="false" customHeight="false" outlineLevel="0" collapsed="false">
      <c r="A9" s="13" t="s">
        <v>151</v>
      </c>
      <c r="B9" s="4" t="s">
        <v>152</v>
      </c>
      <c r="C9" s="4" t="s">
        <v>153</v>
      </c>
    </row>
    <row r="10" customFormat="false" ht="15" hidden="false" customHeight="false" outlineLevel="0" collapsed="false">
      <c r="A10" s="13" t="s">
        <v>154</v>
      </c>
      <c r="B10" s="4" t="s">
        <v>155</v>
      </c>
      <c r="C10" s="4" t="s">
        <v>156</v>
      </c>
    </row>
    <row r="11" customFormat="false" ht="15" hidden="false" customHeight="false" outlineLevel="0" collapsed="false">
      <c r="A11" s="13" t="s">
        <v>157</v>
      </c>
      <c r="B11" s="4" t="s">
        <v>158</v>
      </c>
      <c r="C11" s="4" t="s">
        <v>159</v>
      </c>
    </row>
    <row r="12" customFormat="false" ht="15" hidden="false" customHeight="false" outlineLevel="0" collapsed="false">
      <c r="A12" s="13" t="s">
        <v>160</v>
      </c>
      <c r="B12" s="4" t="s">
        <v>161</v>
      </c>
      <c r="C12" s="4" t="s">
        <v>162</v>
      </c>
    </row>
    <row r="13" customFormat="false" ht="15" hidden="false" customHeight="false" outlineLevel="0" collapsed="false">
      <c r="A13" s="13" t="s">
        <v>163</v>
      </c>
      <c r="B13" s="4" t="s">
        <v>164</v>
      </c>
      <c r="C13" s="4" t="s">
        <v>165</v>
      </c>
    </row>
    <row r="14" customFormat="false" ht="15" hidden="false" customHeight="false" outlineLevel="0" collapsed="false">
      <c r="A14" s="13" t="s">
        <v>166</v>
      </c>
      <c r="B14" s="4" t="s">
        <v>167</v>
      </c>
      <c r="C14" s="4" t="s">
        <v>168</v>
      </c>
    </row>
    <row r="15" customFormat="false" ht="15" hidden="false" customHeight="false" outlineLevel="0" collapsed="false">
      <c r="A15" s="13" t="s">
        <v>169</v>
      </c>
      <c r="B15" s="4" t="s">
        <v>170</v>
      </c>
      <c r="C15" s="4" t="s">
        <v>171</v>
      </c>
    </row>
    <row r="16" customFormat="false" ht="15" hidden="false" customHeight="false" outlineLevel="0" collapsed="false">
      <c r="A16" s="13" t="s">
        <v>172</v>
      </c>
      <c r="B16" s="4" t="s">
        <v>173</v>
      </c>
      <c r="C16" s="4" t="s">
        <v>174</v>
      </c>
    </row>
    <row r="17" customFormat="false" ht="15" hidden="false" customHeight="false" outlineLevel="0" collapsed="false">
      <c r="A17" s="13" t="s">
        <v>175</v>
      </c>
      <c r="B17" s="4" t="s">
        <v>176</v>
      </c>
      <c r="C17" s="4" t="s">
        <v>177</v>
      </c>
    </row>
    <row r="18" customFormat="false" ht="15" hidden="false" customHeight="false" outlineLevel="0" collapsed="false">
      <c r="A18" s="13" t="s">
        <v>178</v>
      </c>
      <c r="B18" s="4" t="s">
        <v>179</v>
      </c>
      <c r="C18" s="4" t="s">
        <v>180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6" min="6" style="0" width="26"/>
  </cols>
  <sheetData>
    <row r="1" customFormat="false" ht="25.5" hidden="false" customHeight="true" outlineLevel="0" collapsed="false">
      <c r="A1" s="1" t="s">
        <v>181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182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0" t="s">
        <v>183</v>
      </c>
      <c r="B4" s="10" t="s">
        <v>184</v>
      </c>
      <c r="C4" s="10" t="s">
        <v>185</v>
      </c>
      <c r="D4" s="10" t="s">
        <v>186</v>
      </c>
      <c r="E4" s="10" t="s">
        <v>187</v>
      </c>
      <c r="F4" s="10" t="s">
        <v>188</v>
      </c>
    </row>
    <row r="5" customFormat="false" ht="15" hidden="false" customHeight="false" outlineLevel="0" collapsed="false">
      <c r="A5" s="14" t="s">
        <v>189</v>
      </c>
      <c r="B5" s="4" t="s">
        <v>139</v>
      </c>
      <c r="C5" s="4" t="s">
        <v>190</v>
      </c>
      <c r="D5" s="4" t="s">
        <v>191</v>
      </c>
      <c r="E5" s="15" t="s">
        <v>192</v>
      </c>
      <c r="F5" s="4"/>
    </row>
    <row r="6" customFormat="false" ht="15" hidden="false" customHeight="false" outlineLevel="0" collapsed="false">
      <c r="A6" s="14" t="s">
        <v>193</v>
      </c>
      <c r="B6" s="4" t="s">
        <v>139</v>
      </c>
      <c r="C6" s="4" t="s">
        <v>194</v>
      </c>
      <c r="D6" s="4" t="s">
        <v>195</v>
      </c>
      <c r="E6" s="15" t="s">
        <v>192</v>
      </c>
      <c r="F6" s="4"/>
    </row>
    <row r="7" customFormat="false" ht="15" hidden="false" customHeight="false" outlineLevel="0" collapsed="false">
      <c r="A7" s="14" t="s">
        <v>196</v>
      </c>
      <c r="B7" s="4" t="s">
        <v>139</v>
      </c>
      <c r="C7" s="4" t="s">
        <v>197</v>
      </c>
      <c r="D7" s="4" t="s">
        <v>198</v>
      </c>
      <c r="E7" s="16" t="s">
        <v>199</v>
      </c>
      <c r="F7" s="4"/>
    </row>
    <row r="8" customFormat="false" ht="15" hidden="false" customHeight="false" outlineLevel="0" collapsed="false">
      <c r="A8" s="14" t="s">
        <v>200</v>
      </c>
      <c r="B8" s="4" t="s">
        <v>139</v>
      </c>
      <c r="C8" s="4" t="s">
        <v>201</v>
      </c>
      <c r="D8" s="4" t="s">
        <v>202</v>
      </c>
      <c r="E8" s="15" t="s">
        <v>192</v>
      </c>
      <c r="F8" s="4" t="s">
        <v>203</v>
      </c>
    </row>
    <row r="9" customFormat="false" ht="15" hidden="false" customHeight="false" outlineLevel="0" collapsed="false">
      <c r="A9" s="14" t="s">
        <v>204</v>
      </c>
      <c r="B9" s="4" t="s">
        <v>139</v>
      </c>
      <c r="C9" s="4" t="s">
        <v>205</v>
      </c>
      <c r="D9" s="4" t="s">
        <v>206</v>
      </c>
      <c r="E9" s="16" t="s">
        <v>199</v>
      </c>
      <c r="F9" s="4"/>
    </row>
    <row r="10" customFormat="false" ht="22.35" hidden="false" customHeight="false" outlineLevel="0" collapsed="false">
      <c r="A10" s="14" t="s">
        <v>207</v>
      </c>
      <c r="B10" s="4" t="s">
        <v>142</v>
      </c>
      <c r="C10" s="4" t="s">
        <v>208</v>
      </c>
      <c r="D10" s="4" t="s">
        <v>209</v>
      </c>
      <c r="E10" s="15" t="s">
        <v>192</v>
      </c>
      <c r="F10" s="17" t="s">
        <v>210</v>
      </c>
    </row>
    <row r="11" customFormat="false" ht="15" hidden="false" customHeight="false" outlineLevel="0" collapsed="false">
      <c r="A11" s="14" t="s">
        <v>211</v>
      </c>
      <c r="B11" s="4" t="s">
        <v>142</v>
      </c>
      <c r="C11" s="4" t="s">
        <v>212</v>
      </c>
      <c r="D11" s="4" t="s">
        <v>213</v>
      </c>
      <c r="E11" s="15" t="s">
        <v>192</v>
      </c>
      <c r="F11" s="4"/>
    </row>
    <row r="12" customFormat="false" ht="15" hidden="false" customHeight="false" outlineLevel="0" collapsed="false">
      <c r="A12" s="14" t="s">
        <v>214</v>
      </c>
      <c r="B12" s="4" t="s">
        <v>142</v>
      </c>
      <c r="C12" s="4" t="s">
        <v>215</v>
      </c>
      <c r="D12" s="4" t="s">
        <v>216</v>
      </c>
      <c r="E12" s="16" t="s">
        <v>199</v>
      </c>
      <c r="F12" s="4"/>
    </row>
    <row r="13" customFormat="false" ht="15" hidden="false" customHeight="false" outlineLevel="0" collapsed="false">
      <c r="A13" s="14" t="s">
        <v>217</v>
      </c>
      <c r="B13" s="4" t="s">
        <v>145</v>
      </c>
      <c r="C13" s="4" t="s">
        <v>218</v>
      </c>
      <c r="D13" s="4" t="s">
        <v>219</v>
      </c>
      <c r="E13" s="15" t="s">
        <v>192</v>
      </c>
      <c r="F13" s="4"/>
    </row>
    <row r="14" customFormat="false" ht="26.85" hidden="false" customHeight="false" outlineLevel="0" collapsed="false">
      <c r="A14" s="14" t="s">
        <v>220</v>
      </c>
      <c r="B14" s="4" t="s">
        <v>145</v>
      </c>
      <c r="C14" s="4" t="s">
        <v>221</v>
      </c>
      <c r="D14" s="4" t="s">
        <v>222</v>
      </c>
      <c r="E14" s="15" t="s">
        <v>192</v>
      </c>
      <c r="F14" s="17" t="s">
        <v>223</v>
      </c>
    </row>
    <row r="15" customFormat="false" ht="15" hidden="false" customHeight="false" outlineLevel="0" collapsed="false">
      <c r="A15" s="14" t="s">
        <v>224</v>
      </c>
      <c r="B15" s="4" t="s">
        <v>145</v>
      </c>
      <c r="C15" s="4" t="s">
        <v>225</v>
      </c>
      <c r="D15" s="4" t="s">
        <v>226</v>
      </c>
      <c r="E15" s="15" t="s">
        <v>192</v>
      </c>
      <c r="F15" s="4"/>
    </row>
    <row r="16" customFormat="false" ht="15" hidden="false" customHeight="false" outlineLevel="0" collapsed="false">
      <c r="A16" s="14" t="s">
        <v>227</v>
      </c>
      <c r="B16" s="4" t="s">
        <v>145</v>
      </c>
      <c r="C16" s="4" t="s">
        <v>228</v>
      </c>
      <c r="D16" s="4" t="s">
        <v>229</v>
      </c>
      <c r="E16" s="15" t="s">
        <v>192</v>
      </c>
      <c r="F16" s="17" t="s">
        <v>230</v>
      </c>
    </row>
    <row r="17" customFormat="false" ht="15" hidden="false" customHeight="false" outlineLevel="0" collapsed="false">
      <c r="A17" s="14" t="s">
        <v>231</v>
      </c>
      <c r="B17" s="4" t="s">
        <v>145</v>
      </c>
      <c r="C17" s="4" t="s">
        <v>232</v>
      </c>
      <c r="D17" s="4" t="s">
        <v>233</v>
      </c>
      <c r="E17" s="15" t="s">
        <v>192</v>
      </c>
      <c r="F17" s="17" t="s">
        <v>234</v>
      </c>
    </row>
    <row r="18" customFormat="false" ht="15" hidden="false" customHeight="false" outlineLevel="0" collapsed="false">
      <c r="A18" s="14" t="s">
        <v>235</v>
      </c>
      <c r="B18" s="4" t="s">
        <v>148</v>
      </c>
      <c r="C18" s="4" t="s">
        <v>236</v>
      </c>
      <c r="D18" s="4" t="s">
        <v>237</v>
      </c>
      <c r="E18" s="15" t="s">
        <v>192</v>
      </c>
      <c r="F18" s="4"/>
    </row>
    <row r="19" customFormat="false" ht="15" hidden="false" customHeight="false" outlineLevel="0" collapsed="false">
      <c r="A19" s="14" t="s">
        <v>238</v>
      </c>
      <c r="B19" s="4" t="s">
        <v>148</v>
      </c>
      <c r="C19" s="4" t="s">
        <v>239</v>
      </c>
      <c r="D19" s="4" t="s">
        <v>240</v>
      </c>
      <c r="E19" s="15" t="s">
        <v>192</v>
      </c>
      <c r="F19" s="4" t="s">
        <v>241</v>
      </c>
    </row>
    <row r="20" customFormat="false" ht="15" hidden="false" customHeight="false" outlineLevel="0" collapsed="false">
      <c r="A20" s="14" t="s">
        <v>242</v>
      </c>
      <c r="B20" s="4" t="s">
        <v>148</v>
      </c>
      <c r="C20" s="4" t="s">
        <v>243</v>
      </c>
      <c r="D20" s="4" t="s">
        <v>244</v>
      </c>
      <c r="E20" s="15" t="s">
        <v>192</v>
      </c>
      <c r="F20" s="4"/>
    </row>
    <row r="21" customFormat="false" ht="15" hidden="false" customHeight="false" outlineLevel="0" collapsed="false">
      <c r="A21" s="14" t="s">
        <v>245</v>
      </c>
      <c r="B21" s="4" t="s">
        <v>148</v>
      </c>
      <c r="C21" s="4" t="s">
        <v>246</v>
      </c>
      <c r="D21" s="4" t="s">
        <v>247</v>
      </c>
      <c r="E21" s="16" t="s">
        <v>199</v>
      </c>
      <c r="F21" s="4"/>
    </row>
    <row r="22" customFormat="false" ht="23.85" hidden="false" customHeight="false" outlineLevel="0" collapsed="false">
      <c r="A22" s="14" t="s">
        <v>248</v>
      </c>
      <c r="B22" s="4" t="s">
        <v>148</v>
      </c>
      <c r="C22" s="4" t="s">
        <v>249</v>
      </c>
      <c r="D22" s="4" t="s">
        <v>250</v>
      </c>
      <c r="E22" s="16" t="s">
        <v>199</v>
      </c>
      <c r="F22" s="4"/>
    </row>
    <row r="23" customFormat="false" ht="15" hidden="false" customHeight="false" outlineLevel="0" collapsed="false">
      <c r="A23" s="14" t="s">
        <v>251</v>
      </c>
      <c r="B23" s="4" t="s">
        <v>151</v>
      </c>
      <c r="C23" s="4" t="s">
        <v>252</v>
      </c>
      <c r="D23" s="4" t="s">
        <v>253</v>
      </c>
      <c r="E23" s="15" t="s">
        <v>192</v>
      </c>
      <c r="F23" s="4"/>
    </row>
    <row r="24" customFormat="false" ht="15" hidden="false" customHeight="false" outlineLevel="0" collapsed="false">
      <c r="A24" s="14" t="s">
        <v>254</v>
      </c>
      <c r="B24" s="4" t="s">
        <v>151</v>
      </c>
      <c r="C24" s="4" t="s">
        <v>255</v>
      </c>
      <c r="D24" s="4" t="s">
        <v>256</v>
      </c>
      <c r="E24" s="15" t="s">
        <v>192</v>
      </c>
      <c r="F24" s="4" t="s">
        <v>257</v>
      </c>
    </row>
    <row r="25" customFormat="false" ht="23.85" hidden="false" customHeight="false" outlineLevel="0" collapsed="false">
      <c r="A25" s="14" t="s">
        <v>258</v>
      </c>
      <c r="B25" s="4" t="s">
        <v>151</v>
      </c>
      <c r="C25" s="4" t="s">
        <v>259</v>
      </c>
      <c r="D25" s="4" t="s">
        <v>260</v>
      </c>
      <c r="E25" s="15" t="s">
        <v>192</v>
      </c>
      <c r="F25" s="17" t="s">
        <v>261</v>
      </c>
    </row>
    <row r="26" customFormat="false" ht="15" hidden="false" customHeight="false" outlineLevel="0" collapsed="false">
      <c r="A26" s="14" t="s">
        <v>262</v>
      </c>
      <c r="B26" s="4" t="s">
        <v>151</v>
      </c>
      <c r="C26" s="4" t="s">
        <v>263</v>
      </c>
      <c r="D26" s="4" t="s">
        <v>264</v>
      </c>
      <c r="E26" s="15" t="s">
        <v>192</v>
      </c>
      <c r="F26" s="17" t="s">
        <v>265</v>
      </c>
    </row>
    <row r="27" customFormat="false" ht="15" hidden="false" customHeight="false" outlineLevel="0" collapsed="false">
      <c r="A27" s="14" t="s">
        <v>266</v>
      </c>
      <c r="B27" s="4" t="s">
        <v>151</v>
      </c>
      <c r="C27" s="4" t="s">
        <v>267</v>
      </c>
      <c r="D27" s="4" t="s">
        <v>268</v>
      </c>
      <c r="E27" s="15" t="s">
        <v>192</v>
      </c>
      <c r="F27" s="4"/>
    </row>
    <row r="28" customFormat="false" ht="15" hidden="false" customHeight="false" outlineLevel="0" collapsed="false">
      <c r="A28" s="14" t="s">
        <v>269</v>
      </c>
      <c r="B28" s="4" t="s">
        <v>151</v>
      </c>
      <c r="C28" s="4" t="s">
        <v>270</v>
      </c>
      <c r="D28" s="4" t="s">
        <v>271</v>
      </c>
      <c r="E28" s="15" t="s">
        <v>192</v>
      </c>
      <c r="F28" s="4"/>
    </row>
    <row r="29" customFormat="false" ht="15" hidden="false" customHeight="false" outlineLevel="0" collapsed="false">
      <c r="A29" s="14" t="s">
        <v>272</v>
      </c>
      <c r="B29" s="4" t="s">
        <v>154</v>
      </c>
      <c r="C29" s="4" t="s">
        <v>273</v>
      </c>
      <c r="D29" s="4" t="s">
        <v>274</v>
      </c>
      <c r="E29" s="15" t="s">
        <v>192</v>
      </c>
      <c r="F29" s="4"/>
    </row>
    <row r="30" customFormat="false" ht="15" hidden="false" customHeight="false" outlineLevel="0" collapsed="false">
      <c r="A30" s="14" t="s">
        <v>275</v>
      </c>
      <c r="B30" s="4" t="s">
        <v>154</v>
      </c>
      <c r="C30" s="4" t="s">
        <v>276</v>
      </c>
      <c r="D30" s="4" t="s">
        <v>277</v>
      </c>
      <c r="E30" s="15" t="s">
        <v>192</v>
      </c>
      <c r="F30" s="17" t="s">
        <v>278</v>
      </c>
    </row>
    <row r="31" customFormat="false" ht="15" hidden="false" customHeight="false" outlineLevel="0" collapsed="false">
      <c r="A31" s="14" t="s">
        <v>279</v>
      </c>
      <c r="B31" s="4" t="s">
        <v>154</v>
      </c>
      <c r="C31" s="4" t="s">
        <v>280</v>
      </c>
      <c r="D31" s="4" t="s">
        <v>281</v>
      </c>
      <c r="E31" s="16" t="s">
        <v>199</v>
      </c>
      <c r="F31" s="4"/>
    </row>
    <row r="32" customFormat="false" ht="15" hidden="false" customHeight="false" outlineLevel="0" collapsed="false">
      <c r="A32" s="14" t="s">
        <v>282</v>
      </c>
      <c r="B32" s="4" t="s">
        <v>154</v>
      </c>
      <c r="C32" s="4" t="s">
        <v>283</v>
      </c>
      <c r="D32" s="4" t="s">
        <v>284</v>
      </c>
      <c r="E32" s="18" t="s">
        <v>285</v>
      </c>
      <c r="F32" s="4"/>
    </row>
    <row r="33" customFormat="false" ht="15" hidden="false" customHeight="false" outlineLevel="0" collapsed="false">
      <c r="A33" s="14" t="s">
        <v>286</v>
      </c>
      <c r="B33" s="4" t="s">
        <v>157</v>
      </c>
      <c r="C33" s="4" t="s">
        <v>287</v>
      </c>
      <c r="D33" s="4" t="s">
        <v>288</v>
      </c>
      <c r="E33" s="15" t="s">
        <v>192</v>
      </c>
      <c r="F33" s="4"/>
    </row>
    <row r="34" customFormat="false" ht="15" hidden="false" customHeight="false" outlineLevel="0" collapsed="false">
      <c r="A34" s="14" t="s">
        <v>289</v>
      </c>
      <c r="B34" s="4" t="s">
        <v>157</v>
      </c>
      <c r="C34" s="4" t="s">
        <v>290</v>
      </c>
      <c r="D34" s="4" t="s">
        <v>291</v>
      </c>
      <c r="E34" s="15" t="s">
        <v>192</v>
      </c>
      <c r="F34" s="4"/>
    </row>
    <row r="35" customFormat="false" ht="15" hidden="false" customHeight="false" outlineLevel="0" collapsed="false">
      <c r="A35" s="14" t="s">
        <v>292</v>
      </c>
      <c r="B35" s="4" t="s">
        <v>157</v>
      </c>
      <c r="C35" s="4" t="s">
        <v>293</v>
      </c>
      <c r="D35" s="4" t="s">
        <v>294</v>
      </c>
      <c r="E35" s="15" t="s">
        <v>192</v>
      </c>
      <c r="F35" s="4"/>
    </row>
    <row r="36" customFormat="false" ht="15" hidden="false" customHeight="false" outlineLevel="0" collapsed="false">
      <c r="A36" s="14" t="s">
        <v>295</v>
      </c>
      <c r="B36" s="4" t="s">
        <v>160</v>
      </c>
      <c r="C36" s="4" t="s">
        <v>296</v>
      </c>
      <c r="D36" s="4" t="s">
        <v>297</v>
      </c>
      <c r="E36" s="15" t="s">
        <v>192</v>
      </c>
      <c r="F36" s="4"/>
    </row>
    <row r="37" customFormat="false" ht="15" hidden="false" customHeight="false" outlineLevel="0" collapsed="false">
      <c r="A37" s="14" t="s">
        <v>298</v>
      </c>
      <c r="B37" s="4" t="s">
        <v>160</v>
      </c>
      <c r="C37" s="4" t="s">
        <v>299</v>
      </c>
      <c r="D37" s="4" t="s">
        <v>300</v>
      </c>
      <c r="E37" s="15" t="s">
        <v>192</v>
      </c>
      <c r="F37" s="4"/>
    </row>
    <row r="38" customFormat="false" ht="15" hidden="false" customHeight="false" outlineLevel="0" collapsed="false">
      <c r="A38" s="14" t="s">
        <v>301</v>
      </c>
      <c r="B38" s="4" t="s">
        <v>160</v>
      </c>
      <c r="C38" s="4" t="s">
        <v>302</v>
      </c>
      <c r="D38" s="4" t="s">
        <v>303</v>
      </c>
      <c r="E38" s="15" t="s">
        <v>192</v>
      </c>
      <c r="F38" s="4"/>
    </row>
    <row r="39" customFormat="false" ht="15" hidden="false" customHeight="false" outlineLevel="0" collapsed="false">
      <c r="A39" s="14" t="s">
        <v>304</v>
      </c>
      <c r="B39" s="4" t="s">
        <v>160</v>
      </c>
      <c r="C39" s="4" t="s">
        <v>305</v>
      </c>
      <c r="D39" s="4" t="s">
        <v>306</v>
      </c>
      <c r="E39" s="16" t="s">
        <v>199</v>
      </c>
      <c r="F39" s="4"/>
    </row>
    <row r="40" customFormat="false" ht="15" hidden="false" customHeight="false" outlineLevel="0" collapsed="false">
      <c r="A40" s="14" t="s">
        <v>307</v>
      </c>
      <c r="B40" s="4" t="s">
        <v>163</v>
      </c>
      <c r="C40" s="4" t="s">
        <v>308</v>
      </c>
      <c r="D40" s="4" t="s">
        <v>309</v>
      </c>
      <c r="E40" s="15" t="s">
        <v>192</v>
      </c>
      <c r="F40" s="4"/>
    </row>
    <row r="41" customFormat="false" ht="15" hidden="false" customHeight="false" outlineLevel="0" collapsed="false">
      <c r="A41" s="14" t="s">
        <v>310</v>
      </c>
      <c r="B41" s="4" t="s">
        <v>163</v>
      </c>
      <c r="C41" s="4" t="s">
        <v>311</v>
      </c>
      <c r="D41" s="4" t="s">
        <v>312</v>
      </c>
      <c r="E41" s="15" t="s">
        <v>192</v>
      </c>
      <c r="F41" s="4"/>
    </row>
    <row r="42" customFormat="false" ht="15" hidden="false" customHeight="false" outlineLevel="0" collapsed="false">
      <c r="A42" s="14" t="s">
        <v>313</v>
      </c>
      <c r="B42" s="4" t="s">
        <v>163</v>
      </c>
      <c r="C42" s="4" t="s">
        <v>314</v>
      </c>
      <c r="D42" s="4" t="s">
        <v>315</v>
      </c>
      <c r="E42" s="15" t="s">
        <v>192</v>
      </c>
      <c r="F42" s="17" t="s">
        <v>316</v>
      </c>
    </row>
    <row r="43" customFormat="false" ht="15" hidden="false" customHeight="false" outlineLevel="0" collapsed="false">
      <c r="A43" s="14" t="s">
        <v>317</v>
      </c>
      <c r="B43" s="4" t="s">
        <v>163</v>
      </c>
      <c r="C43" s="4" t="s">
        <v>318</v>
      </c>
      <c r="D43" s="4" t="s">
        <v>319</v>
      </c>
      <c r="E43" s="16" t="s">
        <v>199</v>
      </c>
      <c r="F43" s="4"/>
    </row>
    <row r="44" customFormat="false" ht="15" hidden="false" customHeight="false" outlineLevel="0" collapsed="false">
      <c r="A44" s="14" t="s">
        <v>320</v>
      </c>
      <c r="B44" s="4" t="s">
        <v>166</v>
      </c>
      <c r="C44" s="4" t="s">
        <v>321</v>
      </c>
      <c r="D44" s="4" t="s">
        <v>322</v>
      </c>
      <c r="E44" s="15" t="s">
        <v>192</v>
      </c>
      <c r="F44" s="4"/>
    </row>
    <row r="45" customFormat="false" ht="15" hidden="false" customHeight="false" outlineLevel="0" collapsed="false">
      <c r="A45" s="14" t="s">
        <v>323</v>
      </c>
      <c r="B45" s="4" t="s">
        <v>166</v>
      </c>
      <c r="C45" s="4" t="s">
        <v>324</v>
      </c>
      <c r="D45" s="4" t="s">
        <v>325</v>
      </c>
      <c r="E45" s="15" t="s">
        <v>192</v>
      </c>
      <c r="F45" s="17" t="s">
        <v>326</v>
      </c>
    </row>
    <row r="46" customFormat="false" ht="15" hidden="false" customHeight="false" outlineLevel="0" collapsed="false">
      <c r="A46" s="14" t="s">
        <v>327</v>
      </c>
      <c r="B46" s="4" t="s">
        <v>166</v>
      </c>
      <c r="C46" s="4" t="s">
        <v>328</v>
      </c>
      <c r="D46" s="4" t="s">
        <v>329</v>
      </c>
      <c r="E46" s="15" t="s">
        <v>192</v>
      </c>
      <c r="F46" s="17" t="s">
        <v>326</v>
      </c>
    </row>
    <row r="47" customFormat="false" ht="15" hidden="false" customHeight="false" outlineLevel="0" collapsed="false">
      <c r="A47" s="14" t="s">
        <v>330</v>
      </c>
      <c r="B47" s="4" t="s">
        <v>166</v>
      </c>
      <c r="C47" s="4" t="s">
        <v>331</v>
      </c>
      <c r="D47" s="4" t="s">
        <v>332</v>
      </c>
      <c r="E47" s="16" t="s">
        <v>199</v>
      </c>
      <c r="F47" s="4"/>
    </row>
    <row r="48" customFormat="false" ht="15" hidden="false" customHeight="false" outlineLevel="0" collapsed="false">
      <c r="A48" s="14" t="s">
        <v>333</v>
      </c>
      <c r="B48" s="4" t="s">
        <v>166</v>
      </c>
      <c r="C48" s="4" t="s">
        <v>334</v>
      </c>
      <c r="D48" s="4" t="s">
        <v>335</v>
      </c>
      <c r="E48" s="18" t="s">
        <v>285</v>
      </c>
      <c r="F48" s="17" t="s">
        <v>336</v>
      </c>
    </row>
    <row r="49" customFormat="false" ht="15" hidden="false" customHeight="false" outlineLevel="0" collapsed="false">
      <c r="A49" s="14" t="s">
        <v>337</v>
      </c>
      <c r="B49" s="4" t="s">
        <v>166</v>
      </c>
      <c r="C49" s="4" t="s">
        <v>338</v>
      </c>
      <c r="D49" s="4" t="s">
        <v>339</v>
      </c>
      <c r="E49" s="16" t="s">
        <v>199</v>
      </c>
      <c r="F49" s="4"/>
    </row>
    <row r="50" customFormat="false" ht="15" hidden="false" customHeight="false" outlineLevel="0" collapsed="false">
      <c r="A50" s="14" t="s">
        <v>340</v>
      </c>
      <c r="B50" s="4" t="s">
        <v>169</v>
      </c>
      <c r="C50" s="4" t="s">
        <v>341</v>
      </c>
      <c r="D50" s="4" t="s">
        <v>342</v>
      </c>
      <c r="E50" s="15" t="s">
        <v>192</v>
      </c>
      <c r="F50" s="4"/>
    </row>
    <row r="51" customFormat="false" ht="15" hidden="false" customHeight="false" outlineLevel="0" collapsed="false">
      <c r="A51" s="14" t="s">
        <v>343</v>
      </c>
      <c r="B51" s="4" t="s">
        <v>169</v>
      </c>
      <c r="C51" s="4" t="s">
        <v>344</v>
      </c>
      <c r="D51" s="4" t="s">
        <v>345</v>
      </c>
      <c r="E51" s="15" t="s">
        <v>192</v>
      </c>
      <c r="F51" s="17" t="s">
        <v>346</v>
      </c>
    </row>
    <row r="52" customFormat="false" ht="15" hidden="false" customHeight="false" outlineLevel="0" collapsed="false">
      <c r="A52" s="14" t="s">
        <v>347</v>
      </c>
      <c r="B52" s="4" t="s">
        <v>169</v>
      </c>
      <c r="C52" s="4" t="s">
        <v>348</v>
      </c>
      <c r="D52" s="4" t="s">
        <v>349</v>
      </c>
      <c r="E52" s="16" t="s">
        <v>199</v>
      </c>
      <c r="F52" s="4"/>
    </row>
    <row r="53" customFormat="false" ht="15" hidden="false" customHeight="false" outlineLevel="0" collapsed="false">
      <c r="A53" s="14" t="s">
        <v>350</v>
      </c>
      <c r="B53" s="4" t="s">
        <v>172</v>
      </c>
      <c r="C53" s="4" t="s">
        <v>351</v>
      </c>
      <c r="D53" s="4" t="s">
        <v>352</v>
      </c>
      <c r="E53" s="15" t="s">
        <v>192</v>
      </c>
      <c r="F53" s="4"/>
    </row>
    <row r="54" customFormat="false" ht="15" hidden="false" customHeight="false" outlineLevel="0" collapsed="false">
      <c r="A54" s="14" t="s">
        <v>353</v>
      </c>
      <c r="B54" s="4" t="s">
        <v>172</v>
      </c>
      <c r="C54" s="4" t="s">
        <v>354</v>
      </c>
      <c r="D54" s="4" t="s">
        <v>355</v>
      </c>
      <c r="E54" s="16" t="s">
        <v>199</v>
      </c>
      <c r="F54" s="4"/>
    </row>
    <row r="55" customFormat="false" ht="15" hidden="false" customHeight="false" outlineLevel="0" collapsed="false">
      <c r="A55" s="14" t="s">
        <v>356</v>
      </c>
      <c r="B55" s="4" t="s">
        <v>172</v>
      </c>
      <c r="C55" s="4" t="s">
        <v>357</v>
      </c>
      <c r="D55" s="4" t="s">
        <v>358</v>
      </c>
      <c r="E55" s="15" t="s">
        <v>192</v>
      </c>
      <c r="F55" s="4"/>
    </row>
    <row r="56" customFormat="false" ht="15" hidden="false" customHeight="false" outlineLevel="0" collapsed="false">
      <c r="A56" s="14" t="s">
        <v>359</v>
      </c>
      <c r="B56" s="4" t="s">
        <v>172</v>
      </c>
      <c r="C56" s="4" t="s">
        <v>360</v>
      </c>
      <c r="D56" s="4" t="s">
        <v>361</v>
      </c>
      <c r="E56" s="16" t="s">
        <v>199</v>
      </c>
      <c r="F56" s="4"/>
    </row>
    <row r="57" customFormat="false" ht="15" hidden="false" customHeight="false" outlineLevel="0" collapsed="false">
      <c r="A57" s="14" t="s">
        <v>362</v>
      </c>
      <c r="B57" s="4" t="s">
        <v>175</v>
      </c>
      <c r="C57" s="4" t="s">
        <v>363</v>
      </c>
      <c r="D57" s="4" t="s">
        <v>364</v>
      </c>
      <c r="E57" s="15" t="s">
        <v>192</v>
      </c>
      <c r="F57" s="4"/>
    </row>
    <row r="58" customFormat="false" ht="15" hidden="false" customHeight="false" outlineLevel="0" collapsed="false">
      <c r="A58" s="14" t="s">
        <v>365</v>
      </c>
      <c r="B58" s="4" t="s">
        <v>175</v>
      </c>
      <c r="C58" s="4" t="s">
        <v>366</v>
      </c>
      <c r="D58" s="4" t="s">
        <v>367</v>
      </c>
      <c r="E58" s="15" t="s">
        <v>192</v>
      </c>
      <c r="F58" s="4"/>
    </row>
    <row r="59" customFormat="false" ht="15" hidden="false" customHeight="false" outlineLevel="0" collapsed="false">
      <c r="A59" s="14" t="s">
        <v>368</v>
      </c>
      <c r="B59" s="4" t="s">
        <v>175</v>
      </c>
      <c r="C59" s="4" t="s">
        <v>369</v>
      </c>
      <c r="D59" s="4" t="s">
        <v>370</v>
      </c>
      <c r="E59" s="16" t="s">
        <v>199</v>
      </c>
      <c r="F59" s="4"/>
    </row>
    <row r="60" customFormat="false" ht="15" hidden="false" customHeight="false" outlineLevel="0" collapsed="false">
      <c r="A60" s="14" t="s">
        <v>371</v>
      </c>
      <c r="B60" s="4" t="s">
        <v>175</v>
      </c>
      <c r="C60" s="4" t="s">
        <v>372</v>
      </c>
      <c r="D60" s="4" t="s">
        <v>373</v>
      </c>
      <c r="E60" s="16" t="s">
        <v>199</v>
      </c>
      <c r="F60" s="4"/>
    </row>
    <row r="61" customFormat="false" ht="15" hidden="false" customHeight="false" outlineLevel="0" collapsed="false">
      <c r="A61" s="14" t="s">
        <v>374</v>
      </c>
      <c r="B61" s="4" t="s">
        <v>178</v>
      </c>
      <c r="C61" s="4" t="s">
        <v>375</v>
      </c>
      <c r="D61" s="4" t="s">
        <v>376</v>
      </c>
      <c r="E61" s="16" t="s">
        <v>199</v>
      </c>
      <c r="F61" s="4" t="s">
        <v>64</v>
      </c>
    </row>
    <row r="62" customFormat="false" ht="15" hidden="false" customHeight="false" outlineLevel="0" collapsed="false">
      <c r="A62" s="14" t="s">
        <v>377</v>
      </c>
      <c r="B62" s="4" t="s">
        <v>178</v>
      </c>
      <c r="C62" s="4" t="s">
        <v>378</v>
      </c>
      <c r="D62" s="4" t="s">
        <v>379</v>
      </c>
      <c r="E62" s="16" t="s">
        <v>199</v>
      </c>
      <c r="F62" s="4"/>
    </row>
    <row r="63" customFormat="false" ht="15" hidden="false" customHeight="false" outlineLevel="0" collapsed="false">
      <c r="A63" s="14" t="s">
        <v>380</v>
      </c>
      <c r="B63" s="4" t="s">
        <v>178</v>
      </c>
      <c r="C63" s="4" t="s">
        <v>381</v>
      </c>
      <c r="D63" s="4" t="s">
        <v>382</v>
      </c>
      <c r="E63" s="18" t="s">
        <v>285</v>
      </c>
      <c r="F63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383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384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385</v>
      </c>
      <c r="B4" s="10" t="s">
        <v>386</v>
      </c>
      <c r="C4" s="10" t="s">
        <v>184</v>
      </c>
      <c r="D4" s="10" t="s">
        <v>387</v>
      </c>
      <c r="E4" s="10" t="s">
        <v>50</v>
      </c>
      <c r="F4" s="10" t="s">
        <v>388</v>
      </c>
      <c r="G4" s="10" t="s">
        <v>187</v>
      </c>
      <c r="H4" s="10" t="s">
        <v>188</v>
      </c>
    </row>
    <row r="5" customFormat="false" ht="15" hidden="false" customHeight="false" outlineLevel="0" collapsed="false">
      <c r="A5" s="14" t="s">
        <v>389</v>
      </c>
      <c r="B5" s="4" t="s">
        <v>390</v>
      </c>
      <c r="C5" s="4" t="s">
        <v>175</v>
      </c>
      <c r="D5" s="4" t="s">
        <v>391</v>
      </c>
      <c r="E5" s="4" t="s">
        <v>392</v>
      </c>
      <c r="F5" s="19" t="s">
        <v>393</v>
      </c>
      <c r="G5" s="4" t="s">
        <v>192</v>
      </c>
      <c r="H5" s="4"/>
    </row>
    <row r="6" customFormat="false" ht="15" hidden="false" customHeight="false" outlineLevel="0" collapsed="false">
      <c r="A6" s="14" t="s">
        <v>394</v>
      </c>
      <c r="B6" s="4" t="s">
        <v>360</v>
      </c>
      <c r="C6" s="4" t="s">
        <v>172</v>
      </c>
      <c r="D6" s="4" t="s">
        <v>395</v>
      </c>
      <c r="E6" s="4" t="s">
        <v>396</v>
      </c>
      <c r="F6" s="20" t="s">
        <v>397</v>
      </c>
      <c r="G6" s="4" t="s">
        <v>199</v>
      </c>
      <c r="H6" s="4" t="s">
        <v>398</v>
      </c>
    </row>
    <row r="7" customFormat="false" ht="15" hidden="false" customHeight="false" outlineLevel="0" collapsed="false">
      <c r="A7" s="14" t="s">
        <v>399</v>
      </c>
      <c r="B7" s="4" t="s">
        <v>400</v>
      </c>
      <c r="C7" s="4" t="s">
        <v>139</v>
      </c>
      <c r="D7" s="4" t="s">
        <v>401</v>
      </c>
      <c r="E7" s="4" t="s">
        <v>402</v>
      </c>
      <c r="F7" s="19" t="s">
        <v>393</v>
      </c>
      <c r="G7" s="4" t="s">
        <v>192</v>
      </c>
      <c r="H7" s="4"/>
    </row>
    <row r="8" customFormat="false" ht="15" hidden="false" customHeight="false" outlineLevel="0" collapsed="false">
      <c r="A8" s="14" t="s">
        <v>403</v>
      </c>
      <c r="B8" s="4" t="s">
        <v>404</v>
      </c>
      <c r="C8" s="4" t="s">
        <v>139</v>
      </c>
      <c r="D8" s="4" t="s">
        <v>405</v>
      </c>
      <c r="E8" s="4" t="s">
        <v>402</v>
      </c>
      <c r="F8" s="19" t="s">
        <v>393</v>
      </c>
      <c r="G8" s="4" t="s">
        <v>192</v>
      </c>
      <c r="H8" s="4"/>
    </row>
    <row r="9" customFormat="false" ht="15" hidden="false" customHeight="false" outlineLevel="0" collapsed="false">
      <c r="A9" s="14" t="s">
        <v>406</v>
      </c>
      <c r="B9" s="4" t="s">
        <v>201</v>
      </c>
      <c r="C9" s="4" t="s">
        <v>139</v>
      </c>
      <c r="D9" s="4" t="s">
        <v>407</v>
      </c>
      <c r="E9" s="4" t="s">
        <v>408</v>
      </c>
      <c r="F9" s="21" t="s">
        <v>409</v>
      </c>
      <c r="G9" s="4" t="s">
        <v>192</v>
      </c>
      <c r="H9" s="4"/>
    </row>
    <row r="10" customFormat="false" ht="15" hidden="false" customHeight="false" outlineLevel="0" collapsed="false">
      <c r="A10" s="14" t="s">
        <v>410</v>
      </c>
      <c r="B10" s="4" t="s">
        <v>411</v>
      </c>
      <c r="C10" s="4" t="s">
        <v>139</v>
      </c>
      <c r="D10" s="4" t="s">
        <v>407</v>
      </c>
      <c r="E10" s="4" t="s">
        <v>408</v>
      </c>
      <c r="F10" s="21" t="s">
        <v>409</v>
      </c>
      <c r="G10" s="4" t="s">
        <v>199</v>
      </c>
      <c r="H10" s="4"/>
    </row>
    <row r="11" customFormat="false" ht="15" hidden="false" customHeight="false" outlineLevel="0" collapsed="false">
      <c r="A11" s="14" t="s">
        <v>412</v>
      </c>
      <c r="B11" s="4" t="s">
        <v>413</v>
      </c>
      <c r="C11" s="4" t="s">
        <v>139</v>
      </c>
      <c r="D11" s="4" t="s">
        <v>405</v>
      </c>
      <c r="E11" s="4" t="s">
        <v>402</v>
      </c>
      <c r="F11" s="19" t="s">
        <v>393</v>
      </c>
      <c r="G11" s="4" t="s">
        <v>199</v>
      </c>
      <c r="H11" s="4"/>
    </row>
    <row r="12" customFormat="false" ht="15" hidden="false" customHeight="false" outlineLevel="0" collapsed="false">
      <c r="A12" s="14" t="s">
        <v>414</v>
      </c>
      <c r="B12" s="4" t="s">
        <v>208</v>
      </c>
      <c r="C12" s="4" t="s">
        <v>142</v>
      </c>
      <c r="D12" s="4" t="s">
        <v>415</v>
      </c>
      <c r="E12" s="4" t="s">
        <v>392</v>
      </c>
      <c r="F12" s="21" t="s">
        <v>409</v>
      </c>
      <c r="G12" s="4" t="s">
        <v>192</v>
      </c>
      <c r="H12" s="4" t="s">
        <v>416</v>
      </c>
    </row>
    <row r="13" customFormat="false" ht="15" hidden="false" customHeight="false" outlineLevel="0" collapsed="false">
      <c r="A13" s="14" t="s">
        <v>417</v>
      </c>
      <c r="B13" s="4" t="s">
        <v>418</v>
      </c>
      <c r="C13" s="4" t="s">
        <v>142</v>
      </c>
      <c r="D13" s="4" t="s">
        <v>419</v>
      </c>
      <c r="E13" s="4" t="s">
        <v>408</v>
      </c>
      <c r="F13" s="21" t="s">
        <v>409</v>
      </c>
      <c r="G13" s="4" t="s">
        <v>192</v>
      </c>
      <c r="H13" s="4"/>
    </row>
    <row r="14" customFormat="false" ht="15" hidden="false" customHeight="false" outlineLevel="0" collapsed="false">
      <c r="A14" s="14" t="s">
        <v>420</v>
      </c>
      <c r="B14" s="4" t="s">
        <v>421</v>
      </c>
      <c r="C14" s="4" t="s">
        <v>145</v>
      </c>
      <c r="D14" s="4" t="s">
        <v>401</v>
      </c>
      <c r="E14" s="4" t="s">
        <v>402</v>
      </c>
      <c r="F14" s="19" t="s">
        <v>393</v>
      </c>
      <c r="G14" s="4" t="s">
        <v>192</v>
      </c>
      <c r="H14" s="4"/>
    </row>
    <row r="15" customFormat="false" ht="15" hidden="false" customHeight="false" outlineLevel="0" collapsed="false">
      <c r="A15" s="14" t="s">
        <v>422</v>
      </c>
      <c r="B15" s="4" t="s">
        <v>423</v>
      </c>
      <c r="C15" s="4" t="s">
        <v>145</v>
      </c>
      <c r="D15" s="4" t="s">
        <v>415</v>
      </c>
      <c r="E15" s="4" t="s">
        <v>392</v>
      </c>
      <c r="F15" s="20" t="s">
        <v>397</v>
      </c>
      <c r="G15" s="4" t="s">
        <v>192</v>
      </c>
      <c r="H15" s="4" t="s">
        <v>424</v>
      </c>
    </row>
    <row r="16" customFormat="false" ht="15" hidden="false" customHeight="false" outlineLevel="0" collapsed="false">
      <c r="A16" s="14" t="s">
        <v>425</v>
      </c>
      <c r="B16" s="4" t="s">
        <v>426</v>
      </c>
      <c r="C16" s="4" t="s">
        <v>145</v>
      </c>
      <c r="D16" s="4" t="s">
        <v>419</v>
      </c>
      <c r="E16" s="4" t="s">
        <v>408</v>
      </c>
      <c r="F16" s="21" t="s">
        <v>409</v>
      </c>
      <c r="G16" s="4" t="s">
        <v>192</v>
      </c>
      <c r="H16" s="4"/>
    </row>
    <row r="17" customFormat="false" ht="15" hidden="false" customHeight="false" outlineLevel="0" collapsed="false">
      <c r="A17" s="14" t="s">
        <v>427</v>
      </c>
      <c r="B17" s="4" t="s">
        <v>428</v>
      </c>
      <c r="C17" s="4" t="s">
        <v>148</v>
      </c>
      <c r="D17" s="4" t="s">
        <v>419</v>
      </c>
      <c r="E17" s="4" t="s">
        <v>402</v>
      </c>
      <c r="F17" s="19" t="s">
        <v>393</v>
      </c>
      <c r="G17" s="4" t="s">
        <v>192</v>
      </c>
      <c r="H17" s="4"/>
    </row>
    <row r="18" customFormat="false" ht="15" hidden="false" customHeight="false" outlineLevel="0" collapsed="false">
      <c r="A18" s="14" t="s">
        <v>429</v>
      </c>
      <c r="B18" s="4" t="s">
        <v>430</v>
      </c>
      <c r="C18" s="4" t="s">
        <v>148</v>
      </c>
      <c r="D18" s="4" t="s">
        <v>419</v>
      </c>
      <c r="E18" s="4" t="s">
        <v>392</v>
      </c>
      <c r="F18" s="21" t="s">
        <v>409</v>
      </c>
      <c r="G18" s="4" t="s">
        <v>192</v>
      </c>
      <c r="H18" s="4" t="s">
        <v>431</v>
      </c>
    </row>
    <row r="19" customFormat="false" ht="15" hidden="false" customHeight="false" outlineLevel="0" collapsed="false">
      <c r="A19" s="14" t="s">
        <v>432</v>
      </c>
      <c r="B19" s="4" t="s">
        <v>433</v>
      </c>
      <c r="C19" s="4" t="s">
        <v>148</v>
      </c>
      <c r="D19" s="4" t="s">
        <v>419</v>
      </c>
      <c r="E19" s="4" t="s">
        <v>434</v>
      </c>
      <c r="F19" s="19" t="s">
        <v>393</v>
      </c>
      <c r="G19" s="4" t="s">
        <v>199</v>
      </c>
      <c r="H19" s="4"/>
    </row>
    <row r="20" customFormat="false" ht="15" hidden="false" customHeight="false" outlineLevel="0" collapsed="false">
      <c r="A20" s="14" t="s">
        <v>435</v>
      </c>
      <c r="B20" s="4" t="s">
        <v>436</v>
      </c>
      <c r="C20" s="4" t="s">
        <v>151</v>
      </c>
      <c r="D20" s="4" t="s">
        <v>437</v>
      </c>
      <c r="E20" s="4" t="s">
        <v>402</v>
      </c>
      <c r="F20" s="19" t="s">
        <v>393</v>
      </c>
      <c r="G20" s="4" t="s">
        <v>192</v>
      </c>
      <c r="H20" s="4"/>
    </row>
    <row r="21" customFormat="false" ht="15" hidden="false" customHeight="false" outlineLevel="0" collapsed="false">
      <c r="A21" s="14" t="s">
        <v>438</v>
      </c>
      <c r="B21" s="4" t="s">
        <v>439</v>
      </c>
      <c r="C21" s="4" t="s">
        <v>151</v>
      </c>
      <c r="D21" s="4" t="s">
        <v>419</v>
      </c>
      <c r="E21" s="4" t="s">
        <v>392</v>
      </c>
      <c r="F21" s="20" t="s">
        <v>397</v>
      </c>
      <c r="G21" s="4" t="s">
        <v>192</v>
      </c>
      <c r="H21" s="4" t="s">
        <v>440</v>
      </c>
    </row>
    <row r="22" customFormat="false" ht="15" hidden="false" customHeight="false" outlineLevel="0" collapsed="false">
      <c r="A22" s="14" t="s">
        <v>441</v>
      </c>
      <c r="B22" s="4" t="s">
        <v>270</v>
      </c>
      <c r="C22" s="4" t="s">
        <v>151</v>
      </c>
      <c r="D22" s="4" t="s">
        <v>419</v>
      </c>
      <c r="E22" s="4" t="s">
        <v>434</v>
      </c>
      <c r="F22" s="21" t="s">
        <v>409</v>
      </c>
      <c r="G22" s="4" t="s">
        <v>192</v>
      </c>
      <c r="H22" s="4"/>
    </row>
    <row r="23" customFormat="false" ht="15" hidden="false" customHeight="false" outlineLevel="0" collapsed="false">
      <c r="A23" s="14" t="s">
        <v>442</v>
      </c>
      <c r="B23" s="4" t="s">
        <v>443</v>
      </c>
      <c r="C23" s="4" t="s">
        <v>151</v>
      </c>
      <c r="D23" s="4" t="s">
        <v>407</v>
      </c>
      <c r="E23" s="4" t="s">
        <v>392</v>
      </c>
      <c r="F23" s="19" t="s">
        <v>393</v>
      </c>
      <c r="G23" s="4" t="s">
        <v>192</v>
      </c>
      <c r="H23" s="4"/>
    </row>
    <row r="24" customFormat="false" ht="15" hidden="false" customHeight="false" outlineLevel="0" collapsed="false">
      <c r="A24" s="14" t="s">
        <v>444</v>
      </c>
      <c r="B24" s="4" t="s">
        <v>445</v>
      </c>
      <c r="C24" s="4" t="s">
        <v>154</v>
      </c>
      <c r="D24" s="4" t="s">
        <v>446</v>
      </c>
      <c r="E24" s="4" t="s">
        <v>402</v>
      </c>
      <c r="F24" s="21" t="s">
        <v>409</v>
      </c>
      <c r="G24" s="4" t="s">
        <v>192</v>
      </c>
      <c r="H24" s="4"/>
    </row>
    <row r="25" customFormat="false" ht="15" hidden="false" customHeight="false" outlineLevel="0" collapsed="false">
      <c r="A25" s="14" t="s">
        <v>447</v>
      </c>
      <c r="B25" s="4" t="s">
        <v>448</v>
      </c>
      <c r="C25" s="4" t="s">
        <v>154</v>
      </c>
      <c r="D25" s="4" t="s">
        <v>449</v>
      </c>
      <c r="E25" s="4" t="s">
        <v>402</v>
      </c>
      <c r="F25" s="19" t="s">
        <v>393</v>
      </c>
      <c r="G25" s="4" t="s">
        <v>192</v>
      </c>
      <c r="H25" s="4" t="s">
        <v>450</v>
      </c>
    </row>
    <row r="26" customFormat="false" ht="15" hidden="false" customHeight="false" outlineLevel="0" collapsed="false">
      <c r="A26" s="14" t="s">
        <v>451</v>
      </c>
      <c r="B26" s="4" t="s">
        <v>280</v>
      </c>
      <c r="C26" s="4" t="s">
        <v>154</v>
      </c>
      <c r="D26" s="4" t="s">
        <v>419</v>
      </c>
      <c r="E26" s="4" t="s">
        <v>392</v>
      </c>
      <c r="F26" s="21" t="s">
        <v>409</v>
      </c>
      <c r="G26" s="4" t="s">
        <v>199</v>
      </c>
      <c r="H26" s="4"/>
    </row>
    <row r="27" customFormat="false" ht="15" hidden="false" customHeight="false" outlineLevel="0" collapsed="false">
      <c r="A27" s="14" t="s">
        <v>452</v>
      </c>
      <c r="B27" s="4" t="s">
        <v>453</v>
      </c>
      <c r="C27" s="4" t="s">
        <v>157</v>
      </c>
      <c r="D27" s="4" t="s">
        <v>454</v>
      </c>
      <c r="E27" s="4" t="s">
        <v>392</v>
      </c>
      <c r="F27" s="19" t="s">
        <v>393</v>
      </c>
      <c r="G27" s="4" t="s">
        <v>192</v>
      </c>
      <c r="H27" s="4"/>
    </row>
    <row r="28" customFormat="false" ht="15" hidden="false" customHeight="false" outlineLevel="0" collapsed="false">
      <c r="A28" s="14" t="s">
        <v>455</v>
      </c>
      <c r="B28" s="4" t="s">
        <v>290</v>
      </c>
      <c r="C28" s="4" t="s">
        <v>157</v>
      </c>
      <c r="D28" s="4" t="s">
        <v>456</v>
      </c>
      <c r="E28" s="4" t="s">
        <v>396</v>
      </c>
      <c r="F28" s="20" t="s">
        <v>397</v>
      </c>
      <c r="G28" s="4" t="s">
        <v>192</v>
      </c>
      <c r="H28" s="4"/>
    </row>
    <row r="29" customFormat="false" ht="15" hidden="false" customHeight="false" outlineLevel="0" collapsed="false">
      <c r="A29" s="14" t="s">
        <v>457</v>
      </c>
      <c r="B29" s="4" t="s">
        <v>458</v>
      </c>
      <c r="C29" s="4" t="s">
        <v>157</v>
      </c>
      <c r="D29" s="4" t="s">
        <v>454</v>
      </c>
      <c r="E29" s="4" t="s">
        <v>402</v>
      </c>
      <c r="F29" s="19" t="s">
        <v>393</v>
      </c>
      <c r="G29" s="4" t="s">
        <v>192</v>
      </c>
      <c r="H29" s="4"/>
    </row>
    <row r="30" customFormat="false" ht="15" hidden="false" customHeight="false" outlineLevel="0" collapsed="false">
      <c r="A30" s="14" t="s">
        <v>459</v>
      </c>
      <c r="B30" s="4" t="s">
        <v>460</v>
      </c>
      <c r="C30" s="4" t="s">
        <v>160</v>
      </c>
      <c r="D30" s="4" t="s">
        <v>461</v>
      </c>
      <c r="E30" s="4" t="s">
        <v>392</v>
      </c>
      <c r="F30" s="21" t="s">
        <v>409</v>
      </c>
      <c r="G30" s="4" t="s">
        <v>192</v>
      </c>
      <c r="H30" s="4"/>
    </row>
    <row r="31" customFormat="false" ht="15" hidden="false" customHeight="false" outlineLevel="0" collapsed="false">
      <c r="A31" s="14" t="s">
        <v>462</v>
      </c>
      <c r="B31" s="4" t="s">
        <v>299</v>
      </c>
      <c r="C31" s="4" t="s">
        <v>160</v>
      </c>
      <c r="D31" s="4" t="s">
        <v>449</v>
      </c>
      <c r="E31" s="4" t="s">
        <v>392</v>
      </c>
      <c r="F31" s="21" t="s">
        <v>409</v>
      </c>
      <c r="G31" s="4" t="s">
        <v>192</v>
      </c>
      <c r="H31" s="4"/>
    </row>
    <row r="32" customFormat="false" ht="15" hidden="false" customHeight="false" outlineLevel="0" collapsed="false">
      <c r="A32" s="14" t="s">
        <v>463</v>
      </c>
      <c r="B32" s="4" t="s">
        <v>464</v>
      </c>
      <c r="C32" s="4" t="s">
        <v>160</v>
      </c>
      <c r="D32" s="4" t="s">
        <v>456</v>
      </c>
      <c r="E32" s="4" t="s">
        <v>465</v>
      </c>
      <c r="F32" s="20" t="s">
        <v>397</v>
      </c>
      <c r="G32" s="4" t="s">
        <v>192</v>
      </c>
      <c r="H32" s="4" t="s">
        <v>466</v>
      </c>
    </row>
    <row r="33" customFormat="false" ht="15" hidden="false" customHeight="false" outlineLevel="0" collapsed="false">
      <c r="A33" s="14" t="s">
        <v>467</v>
      </c>
      <c r="B33" s="4" t="s">
        <v>468</v>
      </c>
      <c r="C33" s="4" t="s">
        <v>160</v>
      </c>
      <c r="D33" s="4" t="s">
        <v>454</v>
      </c>
      <c r="E33" s="4" t="s">
        <v>392</v>
      </c>
      <c r="F33" s="21" t="s">
        <v>409</v>
      </c>
      <c r="G33" s="4" t="s">
        <v>199</v>
      </c>
      <c r="H33" s="4"/>
    </row>
    <row r="34" customFormat="false" ht="15" hidden="false" customHeight="false" outlineLevel="0" collapsed="false">
      <c r="A34" s="14" t="s">
        <v>469</v>
      </c>
      <c r="B34" s="4" t="s">
        <v>470</v>
      </c>
      <c r="C34" s="4" t="s">
        <v>163</v>
      </c>
      <c r="D34" s="4" t="s">
        <v>456</v>
      </c>
      <c r="E34" s="4" t="s">
        <v>434</v>
      </c>
      <c r="F34" s="20" t="s">
        <v>397</v>
      </c>
      <c r="G34" s="4" t="s">
        <v>192</v>
      </c>
      <c r="H34" s="4"/>
    </row>
    <row r="35" customFormat="false" ht="15" hidden="false" customHeight="false" outlineLevel="0" collapsed="false">
      <c r="A35" s="14" t="s">
        <v>471</v>
      </c>
      <c r="B35" s="4" t="s">
        <v>472</v>
      </c>
      <c r="C35" s="4" t="s">
        <v>163</v>
      </c>
      <c r="D35" s="4" t="s">
        <v>454</v>
      </c>
      <c r="E35" s="4" t="s">
        <v>465</v>
      </c>
      <c r="F35" s="21" t="s">
        <v>409</v>
      </c>
      <c r="G35" s="4" t="s">
        <v>192</v>
      </c>
      <c r="H35" s="4" t="s">
        <v>473</v>
      </c>
    </row>
    <row r="36" customFormat="false" ht="15" hidden="false" customHeight="false" outlineLevel="0" collapsed="false">
      <c r="A36" s="14" t="s">
        <v>474</v>
      </c>
      <c r="B36" s="4" t="s">
        <v>475</v>
      </c>
      <c r="C36" s="4" t="s">
        <v>166</v>
      </c>
      <c r="D36" s="4" t="s">
        <v>407</v>
      </c>
      <c r="E36" s="4" t="s">
        <v>392</v>
      </c>
      <c r="F36" s="20" t="s">
        <v>397</v>
      </c>
      <c r="G36" s="4" t="s">
        <v>192</v>
      </c>
      <c r="H36" s="4"/>
    </row>
    <row r="37" customFormat="false" ht="15" hidden="false" customHeight="false" outlineLevel="0" collapsed="false">
      <c r="A37" s="14" t="s">
        <v>476</v>
      </c>
      <c r="B37" s="4" t="s">
        <v>477</v>
      </c>
      <c r="C37" s="4" t="s">
        <v>166</v>
      </c>
      <c r="D37" s="4" t="s">
        <v>407</v>
      </c>
      <c r="E37" s="4" t="s">
        <v>434</v>
      </c>
      <c r="F37" s="20" t="s">
        <v>397</v>
      </c>
      <c r="G37" s="4" t="s">
        <v>192</v>
      </c>
      <c r="H37" s="4" t="s">
        <v>326</v>
      </c>
    </row>
    <row r="38" customFormat="false" ht="15" hidden="false" customHeight="false" outlineLevel="0" collapsed="false">
      <c r="A38" s="14" t="s">
        <v>478</v>
      </c>
      <c r="B38" s="4" t="s">
        <v>479</v>
      </c>
      <c r="C38" s="4" t="s">
        <v>166</v>
      </c>
      <c r="D38" s="4" t="s">
        <v>407</v>
      </c>
      <c r="E38" s="4" t="s">
        <v>402</v>
      </c>
      <c r="F38" s="21" t="s">
        <v>409</v>
      </c>
      <c r="G38" s="4" t="s">
        <v>199</v>
      </c>
      <c r="H38" s="4"/>
    </row>
    <row r="39" customFormat="false" ht="15" hidden="false" customHeight="false" outlineLevel="0" collapsed="false">
      <c r="A39" s="14" t="s">
        <v>480</v>
      </c>
      <c r="B39" s="4" t="s">
        <v>481</v>
      </c>
      <c r="C39" s="4" t="s">
        <v>169</v>
      </c>
      <c r="D39" s="4" t="s">
        <v>482</v>
      </c>
      <c r="E39" s="4" t="s">
        <v>392</v>
      </c>
      <c r="F39" s="21" t="s">
        <v>409</v>
      </c>
      <c r="G39" s="4" t="s">
        <v>192</v>
      </c>
      <c r="H39" s="4" t="s">
        <v>483</v>
      </c>
    </row>
    <row r="40" customFormat="false" ht="15" hidden="false" customHeight="false" outlineLevel="0" collapsed="false">
      <c r="A40" s="14" t="s">
        <v>484</v>
      </c>
      <c r="B40" s="4" t="s">
        <v>485</v>
      </c>
      <c r="C40" s="4" t="s">
        <v>169</v>
      </c>
      <c r="D40" s="4" t="s">
        <v>486</v>
      </c>
      <c r="E40" s="4" t="s">
        <v>402</v>
      </c>
      <c r="F40" s="21" t="s">
        <v>409</v>
      </c>
      <c r="G40" s="4" t="s">
        <v>192</v>
      </c>
      <c r="H40" s="4" t="s">
        <v>487</v>
      </c>
    </row>
    <row r="41" customFormat="false" ht="15" hidden="false" customHeight="false" outlineLevel="0" collapsed="false">
      <c r="A41" s="14" t="s">
        <v>488</v>
      </c>
      <c r="B41" s="4" t="s">
        <v>489</v>
      </c>
      <c r="C41" s="4" t="s">
        <v>172</v>
      </c>
      <c r="D41" s="4" t="s">
        <v>395</v>
      </c>
      <c r="E41" s="4" t="s">
        <v>465</v>
      </c>
      <c r="F41" s="21" t="s">
        <v>409</v>
      </c>
      <c r="G41" s="4" t="s">
        <v>192</v>
      </c>
      <c r="H41" s="4"/>
    </row>
    <row r="42" customFormat="false" ht="15" hidden="false" customHeight="false" outlineLevel="0" collapsed="false">
      <c r="A42" s="14" t="s">
        <v>490</v>
      </c>
      <c r="B42" s="4" t="s">
        <v>491</v>
      </c>
      <c r="C42" s="4" t="s">
        <v>172</v>
      </c>
      <c r="D42" s="4" t="s">
        <v>456</v>
      </c>
      <c r="E42" s="4" t="s">
        <v>465</v>
      </c>
      <c r="F42" s="21" t="s">
        <v>409</v>
      </c>
      <c r="G42" s="4" t="s">
        <v>192</v>
      </c>
      <c r="H42" s="4" t="s">
        <v>492</v>
      </c>
    </row>
    <row r="43" customFormat="false" ht="15" hidden="false" customHeight="false" outlineLevel="0" collapsed="false">
      <c r="A43" s="14" t="s">
        <v>493</v>
      </c>
      <c r="B43" s="4" t="s">
        <v>494</v>
      </c>
      <c r="C43" s="4" t="s">
        <v>175</v>
      </c>
      <c r="D43" s="4" t="s">
        <v>405</v>
      </c>
      <c r="E43" s="4" t="s">
        <v>408</v>
      </c>
      <c r="F43" s="21" t="s">
        <v>409</v>
      </c>
      <c r="G43" s="4" t="s">
        <v>192</v>
      </c>
      <c r="H43" s="4"/>
    </row>
    <row r="44" customFormat="false" ht="15" hidden="false" customHeight="false" outlineLevel="0" collapsed="false">
      <c r="A44" s="14" t="s">
        <v>495</v>
      </c>
      <c r="B44" s="4" t="s">
        <v>496</v>
      </c>
      <c r="C44" s="4" t="s">
        <v>175</v>
      </c>
      <c r="D44" s="4" t="s">
        <v>405</v>
      </c>
      <c r="E44" s="4" t="s">
        <v>392</v>
      </c>
      <c r="F44" s="21" t="s">
        <v>409</v>
      </c>
      <c r="G44" s="4" t="s">
        <v>199</v>
      </c>
      <c r="H44" s="4"/>
    </row>
    <row r="45" customFormat="false" ht="15" hidden="false" customHeight="false" outlineLevel="0" collapsed="false">
      <c r="A45" s="14" t="s">
        <v>497</v>
      </c>
      <c r="B45" s="4" t="s">
        <v>366</v>
      </c>
      <c r="C45" s="4" t="s">
        <v>175</v>
      </c>
      <c r="D45" s="4" t="s">
        <v>405</v>
      </c>
      <c r="E45" s="4" t="s">
        <v>402</v>
      </c>
      <c r="F45" s="19" t="s">
        <v>393</v>
      </c>
      <c r="G45" s="4" t="s">
        <v>192</v>
      </c>
      <c r="H45" s="4"/>
    </row>
    <row r="46" customFormat="false" ht="15" hidden="false" customHeight="false" outlineLevel="0" collapsed="false">
      <c r="A46" s="14" t="s">
        <v>498</v>
      </c>
      <c r="B46" s="4" t="s">
        <v>499</v>
      </c>
      <c r="C46" s="4" t="s">
        <v>178</v>
      </c>
      <c r="D46" s="4" t="s">
        <v>500</v>
      </c>
      <c r="E46" s="4" t="s">
        <v>392</v>
      </c>
      <c r="F46" s="21" t="s">
        <v>409</v>
      </c>
      <c r="G46" s="4" t="s">
        <v>199</v>
      </c>
      <c r="H46" s="4"/>
    </row>
    <row r="47" customFormat="false" ht="15" hidden="false" customHeight="false" outlineLevel="0" collapsed="false">
      <c r="A47" s="14" t="s">
        <v>501</v>
      </c>
      <c r="B47" s="4" t="s">
        <v>502</v>
      </c>
      <c r="C47" s="4" t="s">
        <v>178</v>
      </c>
      <c r="D47" s="4" t="s">
        <v>405</v>
      </c>
      <c r="E47" s="4" t="s">
        <v>392</v>
      </c>
      <c r="F47" s="21" t="s">
        <v>409</v>
      </c>
      <c r="G47" s="4" t="s">
        <v>199</v>
      </c>
      <c r="H47" s="4"/>
    </row>
    <row r="49" customFormat="false" ht="68.65" hidden="false" customHeight="false" outlineLevel="0" collapsed="false">
      <c r="A49" s="8" t="s">
        <v>503</v>
      </c>
      <c r="B49" s="8" t="s">
        <v>504</v>
      </c>
      <c r="C49" s="8" t="s">
        <v>505</v>
      </c>
      <c r="D49" s="8" t="s">
        <v>506</v>
      </c>
      <c r="E49" s="8"/>
      <c r="F49" s="8"/>
      <c r="G49" s="8"/>
      <c r="H49" s="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9"/>
  </cols>
  <sheetData>
    <row r="1" customFormat="false" ht="25.5" hidden="false" customHeight="true" outlineLevel="0" collapsed="false">
      <c r="A1" s="1" t="s">
        <v>507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508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10" t="s">
        <v>47</v>
      </c>
      <c r="B4" s="10" t="s">
        <v>509</v>
      </c>
      <c r="C4" s="10" t="s">
        <v>510</v>
      </c>
      <c r="D4" s="10" t="s">
        <v>511</v>
      </c>
      <c r="E4" s="10" t="s">
        <v>512</v>
      </c>
      <c r="F4" s="10" t="s">
        <v>513</v>
      </c>
      <c r="G4" s="10" t="s">
        <v>187</v>
      </c>
    </row>
    <row r="5" customFormat="false" ht="45" hidden="false" customHeight="true" outlineLevel="0" collapsed="false">
      <c r="A5" s="14" t="s">
        <v>514</v>
      </c>
      <c r="B5" s="4" t="s">
        <v>515</v>
      </c>
      <c r="C5" s="4" t="s">
        <v>516</v>
      </c>
      <c r="D5" s="4" t="s">
        <v>517</v>
      </c>
      <c r="E5" s="4" t="s">
        <v>518</v>
      </c>
      <c r="F5" s="4" t="s">
        <v>254</v>
      </c>
      <c r="G5" s="22" t="s">
        <v>192</v>
      </c>
    </row>
    <row r="6" customFormat="false" ht="45" hidden="false" customHeight="true" outlineLevel="0" collapsed="false">
      <c r="A6" s="14" t="s">
        <v>519</v>
      </c>
      <c r="B6" s="4" t="s">
        <v>520</v>
      </c>
      <c r="C6" s="4" t="s">
        <v>521</v>
      </c>
      <c r="D6" s="4" t="s">
        <v>522</v>
      </c>
      <c r="E6" s="4" t="s">
        <v>523</v>
      </c>
      <c r="F6" s="4" t="s">
        <v>524</v>
      </c>
      <c r="G6" s="22" t="s">
        <v>192</v>
      </c>
    </row>
    <row r="7" customFormat="false" ht="45" hidden="false" customHeight="true" outlineLevel="0" collapsed="false">
      <c r="A7" s="14" t="s">
        <v>525</v>
      </c>
      <c r="B7" s="4" t="s">
        <v>526</v>
      </c>
      <c r="C7" s="4" t="s">
        <v>527</v>
      </c>
      <c r="D7" s="4" t="s">
        <v>528</v>
      </c>
      <c r="E7" s="4" t="s">
        <v>529</v>
      </c>
      <c r="F7" s="4" t="s">
        <v>530</v>
      </c>
      <c r="G7" s="22" t="s">
        <v>192</v>
      </c>
    </row>
    <row r="8" customFormat="false" ht="45" hidden="false" customHeight="true" outlineLevel="0" collapsed="false">
      <c r="A8" s="14" t="s">
        <v>531</v>
      </c>
      <c r="B8" s="4" t="s">
        <v>532</v>
      </c>
      <c r="C8" s="4" t="s">
        <v>533</v>
      </c>
      <c r="D8" s="4" t="s">
        <v>534</v>
      </c>
      <c r="E8" s="4" t="s">
        <v>535</v>
      </c>
      <c r="F8" s="4" t="s">
        <v>220</v>
      </c>
      <c r="G8" s="22" t="s">
        <v>192</v>
      </c>
    </row>
    <row r="9" customFormat="false" ht="45" hidden="false" customHeight="true" outlineLevel="0" collapsed="false">
      <c r="A9" s="14" t="s">
        <v>536</v>
      </c>
      <c r="B9" s="4" t="s">
        <v>537</v>
      </c>
      <c r="C9" s="4" t="s">
        <v>538</v>
      </c>
      <c r="D9" s="4" t="s">
        <v>539</v>
      </c>
      <c r="E9" s="4" t="s">
        <v>540</v>
      </c>
      <c r="F9" s="4" t="s">
        <v>275</v>
      </c>
      <c r="G9" s="22" t="s">
        <v>192</v>
      </c>
    </row>
    <row r="10" customFormat="false" ht="45" hidden="false" customHeight="true" outlineLevel="0" collapsed="false">
      <c r="A10" s="14" t="s">
        <v>541</v>
      </c>
      <c r="B10" s="4" t="s">
        <v>542</v>
      </c>
      <c r="C10" s="4" t="s">
        <v>543</v>
      </c>
      <c r="D10" s="4" t="s">
        <v>544</v>
      </c>
      <c r="E10" s="4" t="s">
        <v>545</v>
      </c>
      <c r="F10" s="4" t="s">
        <v>207</v>
      </c>
      <c r="G10" s="22" t="s">
        <v>192</v>
      </c>
    </row>
    <row r="11" customFormat="false" ht="45" hidden="false" customHeight="true" outlineLevel="0" collapsed="false">
      <c r="A11" s="14" t="s">
        <v>546</v>
      </c>
      <c r="B11" s="4" t="s">
        <v>515</v>
      </c>
      <c r="C11" s="4" t="s">
        <v>547</v>
      </c>
      <c r="D11" s="4" t="s">
        <v>548</v>
      </c>
      <c r="E11" s="4" t="s">
        <v>549</v>
      </c>
      <c r="F11" s="4" t="s">
        <v>238</v>
      </c>
      <c r="G11" s="22" t="s">
        <v>192</v>
      </c>
    </row>
    <row r="12" customFormat="false" ht="45" hidden="false" customHeight="true" outlineLevel="0" collapsed="false">
      <c r="A12" s="14" t="s">
        <v>550</v>
      </c>
      <c r="B12" s="4" t="s">
        <v>537</v>
      </c>
      <c r="C12" s="4" t="s">
        <v>551</v>
      </c>
      <c r="D12" s="4" t="s">
        <v>552</v>
      </c>
      <c r="E12" s="4" t="s">
        <v>553</v>
      </c>
      <c r="F12" s="4" t="s">
        <v>554</v>
      </c>
      <c r="G12" s="22" t="s">
        <v>192</v>
      </c>
    </row>
    <row r="13" customFormat="false" ht="45" hidden="false" customHeight="true" outlineLevel="0" collapsed="false">
      <c r="A13" s="14" t="s">
        <v>555</v>
      </c>
      <c r="B13" s="4" t="s">
        <v>556</v>
      </c>
      <c r="C13" s="4" t="s">
        <v>557</v>
      </c>
      <c r="D13" s="4" t="s">
        <v>558</v>
      </c>
      <c r="E13" s="4" t="s">
        <v>559</v>
      </c>
      <c r="F13" s="4" t="s">
        <v>560</v>
      </c>
      <c r="G13" s="22" t="s">
        <v>192</v>
      </c>
    </row>
    <row r="14" customFormat="false" ht="45" hidden="false" customHeight="true" outlineLevel="0" collapsed="false">
      <c r="A14" s="14" t="s">
        <v>561</v>
      </c>
      <c r="B14" s="4" t="s">
        <v>537</v>
      </c>
      <c r="C14" s="4" t="s">
        <v>562</v>
      </c>
      <c r="D14" s="4" t="s">
        <v>563</v>
      </c>
      <c r="E14" s="4" t="s">
        <v>564</v>
      </c>
      <c r="F14" s="4" t="s">
        <v>565</v>
      </c>
      <c r="G14" s="22" t="s">
        <v>192</v>
      </c>
    </row>
    <row r="15" customFormat="false" ht="45" hidden="false" customHeight="true" outlineLevel="0" collapsed="false">
      <c r="A15" s="14" t="s">
        <v>566</v>
      </c>
      <c r="B15" s="4" t="s">
        <v>395</v>
      </c>
      <c r="C15" s="4" t="s">
        <v>567</v>
      </c>
      <c r="D15" s="4" t="s">
        <v>568</v>
      </c>
      <c r="E15" s="4" t="s">
        <v>569</v>
      </c>
      <c r="F15" s="4" t="s">
        <v>570</v>
      </c>
      <c r="G15" s="22" t="s">
        <v>192</v>
      </c>
    </row>
    <row r="16" customFormat="false" ht="45" hidden="false" customHeight="true" outlineLevel="0" collapsed="false">
      <c r="A16" s="14" t="s">
        <v>571</v>
      </c>
      <c r="B16" s="4" t="s">
        <v>526</v>
      </c>
      <c r="C16" s="4" t="s">
        <v>572</v>
      </c>
      <c r="D16" s="4" t="s">
        <v>573</v>
      </c>
      <c r="E16" s="4" t="s">
        <v>574</v>
      </c>
      <c r="F16" s="4" t="s">
        <v>575</v>
      </c>
      <c r="G16" s="22" t="s">
        <v>192</v>
      </c>
    </row>
    <row r="17" customFormat="false" ht="45" hidden="false" customHeight="true" outlineLevel="0" collapsed="false">
      <c r="A17" s="14" t="s">
        <v>576</v>
      </c>
      <c r="B17" s="4" t="s">
        <v>526</v>
      </c>
      <c r="C17" s="4" t="s">
        <v>577</v>
      </c>
      <c r="D17" s="4" t="s">
        <v>578</v>
      </c>
      <c r="E17" s="4" t="s">
        <v>579</v>
      </c>
      <c r="F17" s="4" t="s">
        <v>580</v>
      </c>
      <c r="G17" s="22" t="s">
        <v>199</v>
      </c>
    </row>
    <row r="18" customFormat="false" ht="45" hidden="false" customHeight="true" outlineLevel="0" collapsed="false">
      <c r="A18" s="14" t="s">
        <v>581</v>
      </c>
      <c r="B18" s="4" t="s">
        <v>395</v>
      </c>
      <c r="C18" s="4" t="s">
        <v>582</v>
      </c>
      <c r="D18" s="4" t="s">
        <v>583</v>
      </c>
      <c r="E18" s="4" t="s">
        <v>584</v>
      </c>
      <c r="F18" s="4" t="s">
        <v>343</v>
      </c>
      <c r="G18" s="22" t="s">
        <v>192</v>
      </c>
    </row>
    <row r="19" customFormat="false" ht="45" hidden="false" customHeight="true" outlineLevel="0" collapsed="false">
      <c r="A19" s="14" t="s">
        <v>585</v>
      </c>
      <c r="B19" s="4" t="s">
        <v>482</v>
      </c>
      <c r="C19" s="4" t="s">
        <v>586</v>
      </c>
      <c r="D19" s="4" t="s">
        <v>587</v>
      </c>
      <c r="E19" s="4" t="s">
        <v>588</v>
      </c>
      <c r="F19" s="4" t="s">
        <v>589</v>
      </c>
      <c r="G19" s="22" t="s">
        <v>199</v>
      </c>
    </row>
    <row r="20" customFormat="false" ht="45" hidden="false" customHeight="true" outlineLevel="0" collapsed="false">
      <c r="A20" s="14" t="s">
        <v>590</v>
      </c>
      <c r="B20" s="4" t="s">
        <v>405</v>
      </c>
      <c r="C20" s="4" t="s">
        <v>591</v>
      </c>
      <c r="D20" s="4" t="s">
        <v>592</v>
      </c>
      <c r="E20" s="4" t="s">
        <v>593</v>
      </c>
      <c r="F20" s="4" t="s">
        <v>365</v>
      </c>
      <c r="G20" s="22" t="s">
        <v>192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594</v>
      </c>
      <c r="B1" s="1"/>
      <c r="C1" s="1"/>
      <c r="D1" s="1"/>
      <c r="E1" s="1"/>
    </row>
    <row r="2" customFormat="false" ht="18" hidden="false" customHeight="true" outlineLevel="0" collapsed="false">
      <c r="A2" s="2" t="s">
        <v>595</v>
      </c>
      <c r="B2" s="2"/>
      <c r="C2" s="2"/>
      <c r="D2" s="2"/>
      <c r="E2" s="2"/>
    </row>
    <row r="4" customFormat="false" ht="128.35" hidden="false" customHeight="false" outlineLevel="0" collapsed="false">
      <c r="A4" s="23" t="s">
        <v>596</v>
      </c>
      <c r="B4" s="24"/>
      <c r="C4" s="24"/>
      <c r="D4" s="24"/>
      <c r="E4" s="24"/>
    </row>
    <row r="5" customFormat="false" ht="26.85" hidden="false" customHeight="false" outlineLevel="0" collapsed="false">
      <c r="A5" s="25" t="s">
        <v>388</v>
      </c>
      <c r="B5" s="25" t="s">
        <v>186</v>
      </c>
      <c r="C5" s="25" t="s">
        <v>597</v>
      </c>
      <c r="D5" s="25" t="s">
        <v>598</v>
      </c>
      <c r="E5" s="25" t="s">
        <v>599</v>
      </c>
    </row>
    <row r="6" customFormat="false" ht="15" hidden="false" customHeight="false" outlineLevel="0" collapsed="false">
      <c r="A6" s="4" t="s">
        <v>393</v>
      </c>
      <c r="B6" s="4" t="s">
        <v>600</v>
      </c>
      <c r="C6" s="26" t="n">
        <v>2.5</v>
      </c>
      <c r="D6" s="27" t="n">
        <f aca="false">COUNTIF('04_Man hinh'!$F:$F,"S")</f>
        <v>13</v>
      </c>
      <c r="E6" s="4" t="n">
        <f aca="false">C6*D6</f>
        <v>32.5</v>
      </c>
    </row>
    <row r="7" customFormat="false" ht="15" hidden="false" customHeight="false" outlineLevel="0" collapsed="false">
      <c r="A7" s="4" t="s">
        <v>409</v>
      </c>
      <c r="B7" s="4" t="s">
        <v>601</v>
      </c>
      <c r="C7" s="26" t="n">
        <v>4.5</v>
      </c>
      <c r="D7" s="27" t="n">
        <f aca="false">COUNTIF('04_Man hinh'!$F:$F,"M")</f>
        <v>22</v>
      </c>
      <c r="E7" s="4" t="n">
        <f aca="false">C7*D7</f>
        <v>99</v>
      </c>
    </row>
    <row r="8" customFormat="false" ht="15" hidden="false" customHeight="false" outlineLevel="0" collapsed="false">
      <c r="A8" s="4" t="s">
        <v>397</v>
      </c>
      <c r="B8" s="4" t="s">
        <v>602</v>
      </c>
      <c r="C8" s="26" t="n">
        <v>9</v>
      </c>
      <c r="D8" s="27" t="n">
        <f aca="false">COUNTIF('04_Man hinh'!$F:$F,"C")</f>
        <v>8</v>
      </c>
      <c r="E8" s="4" t="n">
        <f aca="false">C8*D8</f>
        <v>72</v>
      </c>
    </row>
    <row r="9" customFormat="false" ht="15" hidden="false" customHeight="false" outlineLevel="0" collapsed="false">
      <c r="A9" s="28"/>
      <c r="B9" s="28" t="s">
        <v>603</v>
      </c>
      <c r="C9" s="28"/>
      <c r="D9" s="29" t="n">
        <f aca="false">SUM(D6:D8)</f>
        <v>43</v>
      </c>
      <c r="E9" s="30" t="n">
        <f aca="false">SUM(E6:E8)</f>
        <v>203.5</v>
      </c>
    </row>
    <row r="11" customFormat="false" ht="64.9" hidden="false" customHeight="false" outlineLevel="0" collapsed="false">
      <c r="A11" s="23" t="s">
        <v>604</v>
      </c>
      <c r="B11" s="24"/>
      <c r="C11" s="24"/>
      <c r="D11" s="24"/>
      <c r="E11" s="24"/>
    </row>
    <row r="12" customFormat="false" ht="15" hidden="false" customHeight="false" outlineLevel="0" collapsed="false">
      <c r="A12" s="25" t="s">
        <v>47</v>
      </c>
      <c r="B12" s="25" t="s">
        <v>605</v>
      </c>
      <c r="C12" s="25" t="s">
        <v>606</v>
      </c>
      <c r="D12" s="25"/>
      <c r="E12" s="25" t="s">
        <v>607</v>
      </c>
    </row>
    <row r="13" customFormat="false" ht="15" hidden="false" customHeight="false" outlineLevel="0" collapsed="false">
      <c r="A13" s="4" t="s">
        <v>608</v>
      </c>
      <c r="B13" s="4" t="s">
        <v>609</v>
      </c>
      <c r="C13" s="4" t="s">
        <v>610</v>
      </c>
      <c r="D13" s="4"/>
      <c r="E13" s="27" t="n">
        <v>12</v>
      </c>
    </row>
    <row r="14" customFormat="false" ht="15" hidden="false" customHeight="false" outlineLevel="0" collapsed="false">
      <c r="A14" s="4" t="s">
        <v>611</v>
      </c>
      <c r="B14" s="4" t="s">
        <v>612</v>
      </c>
      <c r="C14" s="4" t="s">
        <v>166</v>
      </c>
      <c r="D14" s="4"/>
      <c r="E14" s="27" t="n">
        <v>18</v>
      </c>
    </row>
    <row r="15" customFormat="false" ht="15" hidden="false" customHeight="false" outlineLevel="0" collapsed="false">
      <c r="A15" s="4" t="s">
        <v>613</v>
      </c>
      <c r="B15" s="4" t="s">
        <v>614</v>
      </c>
      <c r="C15" s="4" t="s">
        <v>157</v>
      </c>
      <c r="D15" s="4"/>
      <c r="E15" s="27" t="n">
        <v>8</v>
      </c>
    </row>
    <row r="16" customFormat="false" ht="15" hidden="false" customHeight="false" outlineLevel="0" collapsed="false">
      <c r="A16" s="4" t="s">
        <v>615</v>
      </c>
      <c r="B16" s="4" t="s">
        <v>616</v>
      </c>
      <c r="C16" s="4" t="s">
        <v>163</v>
      </c>
      <c r="D16" s="4"/>
      <c r="E16" s="27" t="n">
        <v>10</v>
      </c>
    </row>
    <row r="17" customFormat="false" ht="15" hidden="false" customHeight="false" outlineLevel="0" collapsed="false">
      <c r="A17" s="4" t="s">
        <v>617</v>
      </c>
      <c r="B17" s="4" t="s">
        <v>618</v>
      </c>
      <c r="C17" s="4" t="s">
        <v>619</v>
      </c>
      <c r="D17" s="4"/>
      <c r="E17" s="27" t="n">
        <v>8</v>
      </c>
    </row>
    <row r="18" customFormat="false" ht="15" hidden="false" customHeight="false" outlineLevel="0" collapsed="false">
      <c r="A18" s="4" t="s">
        <v>620</v>
      </c>
      <c r="B18" s="4" t="s">
        <v>621</v>
      </c>
      <c r="C18" s="4" t="s">
        <v>160</v>
      </c>
      <c r="D18" s="4"/>
      <c r="E18" s="27" t="n">
        <v>8</v>
      </c>
    </row>
    <row r="19" customFormat="false" ht="15" hidden="false" customHeight="false" outlineLevel="0" collapsed="false">
      <c r="A19" s="4" t="s">
        <v>622</v>
      </c>
      <c r="B19" s="4" t="s">
        <v>623</v>
      </c>
      <c r="C19" s="4" t="s">
        <v>624</v>
      </c>
      <c r="D19" s="4"/>
      <c r="E19" s="27" t="n">
        <v>5</v>
      </c>
    </row>
    <row r="20" customFormat="false" ht="15" hidden="false" customHeight="false" outlineLevel="0" collapsed="false">
      <c r="A20" s="4" t="s">
        <v>625</v>
      </c>
      <c r="B20" s="4" t="s">
        <v>626</v>
      </c>
      <c r="C20" s="4" t="s">
        <v>178</v>
      </c>
      <c r="D20" s="4"/>
      <c r="E20" s="27" t="n">
        <v>12</v>
      </c>
    </row>
    <row r="21" customFormat="false" ht="15" hidden="false" customHeight="false" outlineLevel="0" collapsed="false">
      <c r="A21" s="4" t="s">
        <v>627</v>
      </c>
      <c r="B21" s="4" t="s">
        <v>628</v>
      </c>
      <c r="C21" s="4" t="s">
        <v>175</v>
      </c>
      <c r="D21" s="4"/>
      <c r="E21" s="27" t="n">
        <v>8</v>
      </c>
    </row>
    <row r="22" customFormat="false" ht="15" hidden="false" customHeight="false" outlineLevel="0" collapsed="false">
      <c r="A22" s="4" t="s">
        <v>629</v>
      </c>
      <c r="B22" s="4" t="s">
        <v>630</v>
      </c>
      <c r="C22" s="4" t="s">
        <v>178</v>
      </c>
      <c r="D22" s="4"/>
      <c r="E22" s="27" t="n">
        <v>8</v>
      </c>
    </row>
    <row r="23" customFormat="false" ht="15" hidden="false" customHeight="false" outlineLevel="0" collapsed="false">
      <c r="A23" s="28"/>
      <c r="B23" s="28" t="s">
        <v>631</v>
      </c>
      <c r="C23" s="28"/>
      <c r="D23" s="28"/>
      <c r="E23" s="30" t="n">
        <f aca="false">SUM(E13:E22)</f>
        <v>97</v>
      </c>
    </row>
    <row r="25" customFormat="false" ht="64.9" hidden="false" customHeight="false" outlineLevel="0" collapsed="false">
      <c r="A25" s="23" t="s">
        <v>632</v>
      </c>
      <c r="B25" s="24"/>
      <c r="C25" s="24"/>
      <c r="D25" s="24"/>
      <c r="E25" s="24"/>
    </row>
    <row r="26" customFormat="false" ht="15" hidden="false" customHeight="false" outlineLevel="0" collapsed="false">
      <c r="A26" s="25" t="s">
        <v>633</v>
      </c>
      <c r="B26" s="25" t="s">
        <v>634</v>
      </c>
      <c r="C26" s="25"/>
      <c r="D26" s="25"/>
      <c r="E26" s="25" t="s">
        <v>607</v>
      </c>
    </row>
    <row r="27" customFormat="false" ht="15" hidden="false" customHeight="false" outlineLevel="0" collapsed="false">
      <c r="A27" s="4" t="s">
        <v>635</v>
      </c>
      <c r="B27" s="4" t="s">
        <v>636</v>
      </c>
      <c r="C27" s="4"/>
      <c r="D27" s="4"/>
      <c r="E27" s="27" t="n">
        <v>22</v>
      </c>
    </row>
    <row r="28" customFormat="false" ht="15" hidden="false" customHeight="false" outlineLevel="0" collapsed="false">
      <c r="A28" s="4" t="s">
        <v>637</v>
      </c>
      <c r="B28" s="4" t="s">
        <v>638</v>
      </c>
      <c r="C28" s="4"/>
      <c r="D28" s="4"/>
      <c r="E28" s="27" t="n">
        <v>26</v>
      </c>
    </row>
    <row r="29" customFormat="false" ht="15" hidden="false" customHeight="false" outlineLevel="0" collapsed="false">
      <c r="A29" s="4" t="s">
        <v>639</v>
      </c>
      <c r="B29" s="4" t="s">
        <v>640</v>
      </c>
      <c r="C29" s="4"/>
      <c r="D29" s="4"/>
      <c r="E29" s="27" t="n">
        <v>18</v>
      </c>
    </row>
    <row r="30" customFormat="false" ht="15" hidden="false" customHeight="false" outlineLevel="0" collapsed="false">
      <c r="A30" s="4" t="s">
        <v>641</v>
      </c>
      <c r="B30" s="4" t="s">
        <v>642</v>
      </c>
      <c r="C30" s="4"/>
      <c r="D30" s="4"/>
      <c r="E30" s="27" t="n">
        <v>22</v>
      </c>
    </row>
    <row r="31" customFormat="false" ht="15" hidden="false" customHeight="false" outlineLevel="0" collapsed="false">
      <c r="A31" s="4" t="s">
        <v>643</v>
      </c>
      <c r="B31" s="4" t="s">
        <v>644</v>
      </c>
      <c r="C31" s="4"/>
      <c r="D31" s="4"/>
      <c r="E31" s="27" t="n">
        <v>12</v>
      </c>
    </row>
    <row r="32" customFormat="false" ht="15" hidden="false" customHeight="false" outlineLevel="0" collapsed="false">
      <c r="A32" s="4" t="s">
        <v>645</v>
      </c>
      <c r="B32" s="4" t="s">
        <v>646</v>
      </c>
      <c r="C32" s="4"/>
      <c r="D32" s="4"/>
      <c r="E32" s="27" t="n">
        <v>14</v>
      </c>
    </row>
    <row r="33" customFormat="false" ht="15" hidden="false" customHeight="false" outlineLevel="0" collapsed="false">
      <c r="A33" s="28"/>
      <c r="B33" s="28" t="s">
        <v>647</v>
      </c>
      <c r="C33" s="28"/>
      <c r="D33" s="28"/>
      <c r="E33" s="30" t="n">
        <f aca="false">SUM(E27:E32)</f>
        <v>114</v>
      </c>
    </row>
    <row r="35" customFormat="false" ht="64.9" hidden="false" customHeight="false" outlineLevel="0" collapsed="false">
      <c r="A35" s="23" t="s">
        <v>648</v>
      </c>
      <c r="B35" s="24"/>
      <c r="C35" s="24"/>
      <c r="D35" s="24"/>
      <c r="E35" s="24"/>
    </row>
    <row r="36" customFormat="false" ht="35.05" hidden="false" customHeight="false" outlineLevel="0" collapsed="false">
      <c r="A36" s="4" t="s">
        <v>649</v>
      </c>
      <c r="B36" s="4"/>
      <c r="C36" s="4"/>
      <c r="D36" s="4"/>
      <c r="E36" s="31" t="n">
        <f aca="false">E9+E23</f>
        <v>300.5</v>
      </c>
    </row>
    <row r="37" customFormat="false" ht="46.25" hidden="false" customHeight="false" outlineLevel="0" collapsed="false">
      <c r="A37" s="4" t="s">
        <v>650</v>
      </c>
      <c r="B37" s="4"/>
      <c r="C37" s="4"/>
      <c r="D37" s="4"/>
      <c r="E37" s="31" t="n">
        <f aca="false">E33</f>
        <v>114</v>
      </c>
    </row>
    <row r="38" customFormat="false" ht="23.85" hidden="false" customHeight="false" outlineLevel="0" collapsed="false">
      <c r="A38" s="32" t="s">
        <v>651</v>
      </c>
      <c r="B38" s="32"/>
      <c r="C38" s="32"/>
      <c r="D38" s="32"/>
      <c r="E38" s="33" t="n">
        <f aca="false">E36+E33</f>
        <v>414.5</v>
      </c>
    </row>
    <row r="39" customFormat="false" ht="35.05" hidden="false" customHeight="false" outlineLevel="0" collapsed="false">
      <c r="A39" s="4" t="s">
        <v>652</v>
      </c>
      <c r="B39" s="4"/>
      <c r="C39" s="34" t="n">
        <v>0.15</v>
      </c>
      <c r="D39" s="4"/>
      <c r="E39" s="31" t="n">
        <f aca="false">E38*C39</f>
        <v>62.175</v>
      </c>
    </row>
    <row r="40" customFormat="false" ht="35.05" hidden="false" customHeight="false" outlineLevel="0" collapsed="false">
      <c r="A40" s="32" t="s">
        <v>653</v>
      </c>
      <c r="B40" s="32"/>
      <c r="C40" s="32"/>
      <c r="D40" s="32"/>
      <c r="E40" s="33" t="n">
        <f aca="false">E38+E39</f>
        <v>476.675</v>
      </c>
    </row>
    <row r="41" customFormat="false" ht="35.05" hidden="false" customHeight="false" outlineLevel="0" collapsed="false">
      <c r="A41" s="4" t="s">
        <v>654</v>
      </c>
      <c r="B41" s="4"/>
      <c r="C41" s="34" t="n">
        <v>0.1</v>
      </c>
      <c r="D41" s="4"/>
      <c r="E41" s="31" t="n">
        <f aca="false">E40*C41</f>
        <v>47.6675</v>
      </c>
    </row>
    <row r="42" customFormat="false" ht="52.2" hidden="false" customHeight="false" outlineLevel="0" collapsed="false">
      <c r="A42" s="23" t="s">
        <v>655</v>
      </c>
      <c r="B42" s="24"/>
      <c r="C42" s="24"/>
      <c r="D42" s="24"/>
      <c r="E42" s="35" t="n">
        <f aca="false">E40+E41</f>
        <v>524.3425</v>
      </c>
    </row>
    <row r="43" customFormat="false" ht="46.25" hidden="false" customHeight="false" outlineLevel="0" collapsed="false">
      <c r="A43" s="4" t="s">
        <v>656</v>
      </c>
      <c r="B43" s="4"/>
      <c r="C43" s="4"/>
      <c r="D43" s="4"/>
      <c r="E43" s="36" t="n">
        <f aca="false">E42/20</f>
        <v>26.217125</v>
      </c>
    </row>
    <row r="45" customFormat="false" ht="141" hidden="false" customHeight="false" outlineLevel="0" collapsed="false">
      <c r="A45" s="25" t="s">
        <v>657</v>
      </c>
      <c r="B45" s="25"/>
      <c r="C45" s="25"/>
      <c r="D45" s="25"/>
      <c r="E45" s="25"/>
    </row>
    <row r="46" customFormat="false" ht="15" hidden="false" customHeight="false" outlineLevel="0" collapsed="false">
      <c r="A46" s="4"/>
      <c r="B46" s="4" t="s">
        <v>658</v>
      </c>
      <c r="C46" s="4"/>
      <c r="D46" s="4"/>
      <c r="E46" s="27" t="s">
        <v>659</v>
      </c>
    </row>
    <row r="47" customFormat="false" ht="15" hidden="false" customHeight="false" outlineLevel="0" collapsed="false">
      <c r="A47" s="4"/>
      <c r="B47" s="4" t="s">
        <v>660</v>
      </c>
      <c r="C47" s="4"/>
      <c r="D47" s="4"/>
      <c r="E47" s="27" t="s">
        <v>661</v>
      </c>
    </row>
    <row r="48" customFormat="false" ht="15" hidden="false" customHeight="false" outlineLevel="0" collapsed="false">
      <c r="A48" s="4"/>
      <c r="B48" s="4" t="s">
        <v>662</v>
      </c>
      <c r="C48" s="4"/>
      <c r="D48" s="4"/>
      <c r="E48" s="27" t="s">
        <v>663</v>
      </c>
    </row>
    <row r="49" customFormat="false" ht="15" hidden="false" customHeight="false" outlineLevel="0" collapsed="false">
      <c r="A49" s="4"/>
      <c r="B49" s="4" t="s">
        <v>664</v>
      </c>
      <c r="C49" s="4"/>
      <c r="D49" s="4"/>
      <c r="E49" s="27" t="s">
        <v>665</v>
      </c>
    </row>
    <row r="50" customFormat="false" ht="15" hidden="false" customHeight="false" outlineLevel="0" collapsed="false">
      <c r="A50" s="4"/>
      <c r="B50" s="4" t="s">
        <v>666</v>
      </c>
      <c r="C50" s="4"/>
      <c r="D50" s="4"/>
      <c r="E50" s="27" t="s">
        <v>667</v>
      </c>
    </row>
    <row r="52" customFormat="false" ht="52.2" hidden="false" customHeight="false" outlineLevel="0" collapsed="false">
      <c r="A52" s="23" t="s">
        <v>668</v>
      </c>
      <c r="B52" s="24"/>
      <c r="C52" s="24"/>
      <c r="D52" s="24"/>
      <c r="E52" s="24"/>
    </row>
    <row r="53" customFormat="false" ht="15" hidden="false" customHeight="true" outlineLevel="0" collapsed="false">
      <c r="A53" s="37" t="s">
        <v>669</v>
      </c>
      <c r="B53" s="37"/>
      <c r="C53" s="37"/>
      <c r="D53" s="37"/>
      <c r="E53" s="37"/>
    </row>
    <row r="54" customFormat="false" ht="15" hidden="false" customHeight="true" outlineLevel="0" collapsed="false">
      <c r="A54" s="37" t="s">
        <v>670</v>
      </c>
      <c r="B54" s="37"/>
      <c r="C54" s="37"/>
      <c r="D54" s="37"/>
      <c r="E54" s="37"/>
    </row>
    <row r="55" customFormat="false" ht="15" hidden="false" customHeight="true" outlineLevel="0" collapsed="false">
      <c r="A55" s="37" t="s">
        <v>671</v>
      </c>
      <c r="B55" s="37"/>
      <c r="C55" s="37"/>
      <c r="D55" s="37"/>
      <c r="E55" s="37"/>
    </row>
    <row r="56" customFormat="false" ht="15" hidden="false" customHeight="true" outlineLevel="0" collapsed="false">
      <c r="A56" s="37" t="s">
        <v>672</v>
      </c>
      <c r="B56" s="37"/>
      <c r="C56" s="37"/>
      <c r="D56" s="37"/>
      <c r="E56" s="37"/>
    </row>
    <row r="57" customFormat="false" ht="15" hidden="false" customHeight="true" outlineLevel="0" collapsed="false">
      <c r="A57" s="37" t="s">
        <v>673</v>
      </c>
      <c r="B57" s="37"/>
      <c r="C57" s="37"/>
      <c r="D57" s="37"/>
      <c r="E57" s="37"/>
    </row>
    <row r="58" customFormat="false" ht="15" hidden="false" customHeight="true" outlineLevel="0" collapsed="false">
      <c r="A58" s="37" t="s">
        <v>674</v>
      </c>
      <c r="B58" s="37"/>
      <c r="C58" s="37"/>
      <c r="D58" s="37"/>
      <c r="E58" s="37"/>
    </row>
    <row r="59" customFormat="false" ht="15" hidden="false" customHeight="true" outlineLevel="0" collapsed="false">
      <c r="A59" s="37" t="s">
        <v>675</v>
      </c>
      <c r="B59" s="37"/>
      <c r="C59" s="37"/>
      <c r="D59" s="37"/>
      <c r="E59" s="37"/>
    </row>
    <row r="60" customFormat="false" ht="15" hidden="false" customHeight="true" outlineLevel="0" collapsed="false">
      <c r="A60" s="37" t="s">
        <v>676</v>
      </c>
      <c r="B60" s="37"/>
      <c r="C60" s="37"/>
      <c r="D60" s="37"/>
      <c r="E60" s="37"/>
    </row>
    <row r="61" customFormat="false" ht="15" hidden="false" customHeight="true" outlineLevel="0" collapsed="false">
      <c r="A61" s="37" t="s">
        <v>677</v>
      </c>
      <c r="B61" s="37"/>
      <c r="C61" s="37"/>
      <c r="D61" s="37"/>
      <c r="E61" s="37"/>
    </row>
    <row r="62" customFormat="false" ht="15" hidden="false" customHeight="true" outlineLevel="0" collapsed="false">
      <c r="A62" s="37" t="s">
        <v>678</v>
      </c>
      <c r="B62" s="37"/>
      <c r="C62" s="37"/>
      <c r="D62" s="37"/>
      <c r="E62" s="37"/>
    </row>
  </sheetData>
  <mergeCells count="12">
    <mergeCell ref="A1:E1"/>
    <mergeCell ref="A2:E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1" t="s">
        <v>679</v>
      </c>
      <c r="B1" s="1"/>
      <c r="C1" s="1"/>
      <c r="D1" s="1"/>
      <c r="E1" s="1"/>
    </row>
    <row r="2" customFormat="false" ht="18" hidden="false" customHeight="true" outlineLevel="0" collapsed="false">
      <c r="A2" s="2" t="s">
        <v>680</v>
      </c>
      <c r="B2" s="2"/>
      <c r="C2" s="2"/>
      <c r="D2" s="2"/>
      <c r="E2" s="2"/>
    </row>
    <row r="4" customFormat="false" ht="15" hidden="false" customHeight="false" outlineLevel="0" collapsed="false">
      <c r="A4" s="32" t="s">
        <v>681</v>
      </c>
      <c r="B4" s="32"/>
      <c r="C4" s="32"/>
      <c r="D4" s="32"/>
      <c r="E4" s="33" t="n">
        <f aca="false">'06_Estimate-WBS'!$E$42</f>
        <v>524.3425</v>
      </c>
    </row>
    <row r="6" customFormat="false" ht="15" hidden="false" customHeight="false" outlineLevel="0" collapsed="false">
      <c r="A6" s="25" t="s">
        <v>682</v>
      </c>
      <c r="B6" s="25" t="s">
        <v>683</v>
      </c>
      <c r="C6" s="25" t="s">
        <v>684</v>
      </c>
      <c r="D6" s="25" t="s">
        <v>685</v>
      </c>
      <c r="E6" s="25" t="s">
        <v>686</v>
      </c>
    </row>
    <row r="7" customFormat="false" ht="15" hidden="false" customHeight="false" outlineLevel="0" collapsed="false">
      <c r="A7" s="4" t="s">
        <v>687</v>
      </c>
      <c r="B7" s="38" t="n">
        <v>0.12</v>
      </c>
      <c r="C7" s="31" t="n">
        <f aca="false">$E$4*B7</f>
        <v>62.9211</v>
      </c>
      <c r="D7" s="39" t="n">
        <v>60000</v>
      </c>
      <c r="E7" s="40" t="n">
        <f aca="false">C7*D7</f>
        <v>3775266</v>
      </c>
    </row>
    <row r="8" customFormat="false" ht="15" hidden="false" customHeight="false" outlineLevel="0" collapsed="false">
      <c r="A8" s="4" t="s">
        <v>688</v>
      </c>
      <c r="B8" s="38" t="n">
        <v>0.09</v>
      </c>
      <c r="C8" s="31" t="n">
        <f aca="false">$E$4*B8</f>
        <v>47.190825</v>
      </c>
      <c r="D8" s="39" t="n">
        <v>55000</v>
      </c>
      <c r="E8" s="40" t="n">
        <f aca="false">C8*D8</f>
        <v>2595495.375</v>
      </c>
    </row>
    <row r="9" customFormat="false" ht="15" hidden="false" customHeight="false" outlineLevel="0" collapsed="false">
      <c r="A9" s="4" t="s">
        <v>689</v>
      </c>
      <c r="B9" s="38" t="n">
        <v>0.09</v>
      </c>
      <c r="C9" s="31" t="n">
        <f aca="false">$E$4*B9</f>
        <v>47.190825</v>
      </c>
      <c r="D9" s="39" t="n">
        <v>45000</v>
      </c>
      <c r="E9" s="40" t="n">
        <f aca="false">C9*D9</f>
        <v>2123587.125</v>
      </c>
    </row>
    <row r="10" customFormat="false" ht="15" hidden="false" customHeight="false" outlineLevel="0" collapsed="false">
      <c r="A10" s="4" t="s">
        <v>690</v>
      </c>
      <c r="B10" s="38" t="n">
        <v>0.09</v>
      </c>
      <c r="C10" s="31" t="n">
        <f aca="false">$E$4*B10</f>
        <v>47.190825</v>
      </c>
      <c r="D10" s="39" t="n">
        <v>55000</v>
      </c>
      <c r="E10" s="40" t="n">
        <f aca="false">C10*D10</f>
        <v>2595495.375</v>
      </c>
    </row>
    <row r="11" customFormat="false" ht="15" hidden="false" customHeight="false" outlineLevel="0" collapsed="false">
      <c r="A11" s="4" t="s">
        <v>691</v>
      </c>
      <c r="B11" s="38" t="n">
        <v>0.42</v>
      </c>
      <c r="C11" s="31" t="n">
        <f aca="false">$E$4*B11</f>
        <v>220.22385</v>
      </c>
      <c r="D11" s="39" t="n">
        <v>40000</v>
      </c>
      <c r="E11" s="40" t="n">
        <f aca="false">C11*D11</f>
        <v>8808954</v>
      </c>
    </row>
    <row r="12" customFormat="false" ht="15" hidden="false" customHeight="false" outlineLevel="0" collapsed="false">
      <c r="A12" s="4" t="s">
        <v>692</v>
      </c>
      <c r="B12" s="38" t="n">
        <v>0.14</v>
      </c>
      <c r="C12" s="31" t="n">
        <f aca="false">$E$4*B12</f>
        <v>73.40795</v>
      </c>
      <c r="D12" s="39" t="n">
        <v>38000</v>
      </c>
      <c r="E12" s="40" t="n">
        <f aca="false">C12*D12</f>
        <v>2789502.1</v>
      </c>
    </row>
    <row r="13" customFormat="false" ht="15" hidden="false" customHeight="false" outlineLevel="0" collapsed="false">
      <c r="A13" s="4" t="s">
        <v>693</v>
      </c>
      <c r="B13" s="38" t="n">
        <v>0.05</v>
      </c>
      <c r="C13" s="31" t="n">
        <f aca="false">$E$4*B13</f>
        <v>26.217125</v>
      </c>
      <c r="D13" s="39" t="n">
        <v>45000</v>
      </c>
      <c r="E13" s="40" t="n">
        <f aca="false">C13*D13</f>
        <v>1179770.625</v>
      </c>
    </row>
    <row r="14" customFormat="false" ht="15" hidden="false" customHeight="false" outlineLevel="0" collapsed="false">
      <c r="A14" s="23" t="s">
        <v>694</v>
      </c>
      <c r="B14" s="41" t="n">
        <f aca="false">SUM(B7:B13)</f>
        <v>1</v>
      </c>
      <c r="C14" s="42" t="n">
        <f aca="false">SUM(C7:C13)</f>
        <v>524.3425</v>
      </c>
      <c r="D14" s="24"/>
      <c r="E14" s="43" t="n">
        <f aca="false">SUM(E7:E13)</f>
        <v>23868070.6</v>
      </c>
    </row>
    <row r="15" customFormat="false" ht="15" hidden="false" customHeight="false" outlineLevel="0" collapsed="false">
      <c r="A15" s="4" t="s">
        <v>695</v>
      </c>
      <c r="B15" s="4"/>
      <c r="C15" s="4"/>
      <c r="D15" s="4"/>
      <c r="E15" s="40" t="n">
        <f aca="false">E14/E4</f>
        <v>45520</v>
      </c>
    </row>
    <row r="16" customFormat="false" ht="15" hidden="false" customHeight="false" outlineLevel="0" collapsed="false">
      <c r="A16" s="4" t="s">
        <v>696</v>
      </c>
      <c r="B16" s="4"/>
      <c r="C16" s="4"/>
      <c r="D16" s="4"/>
      <c r="E16" s="44" t="n">
        <v>170</v>
      </c>
    </row>
    <row r="17" customFormat="false" ht="15" hidden="false" customHeight="false" outlineLevel="0" collapsed="false">
      <c r="A17" s="32" t="s">
        <v>697</v>
      </c>
      <c r="B17" s="32"/>
      <c r="C17" s="32"/>
      <c r="D17" s="32"/>
      <c r="E17" s="45" t="n">
        <f aca="false">E14*E16</f>
        <v>4057572002</v>
      </c>
    </row>
    <row r="19" customFormat="false" ht="15" hidden="false" customHeight="false" outlineLevel="0" collapsed="false">
      <c r="A19" s="23" t="s">
        <v>698</v>
      </c>
      <c r="B19" s="24"/>
      <c r="C19" s="24"/>
      <c r="D19" s="24"/>
      <c r="E19" s="24"/>
    </row>
    <row r="20" customFormat="false" ht="15" hidden="false" customHeight="true" outlineLevel="0" collapsed="false">
      <c r="A20" s="46" t="s">
        <v>699</v>
      </c>
      <c r="B20" s="46"/>
      <c r="C20" s="46"/>
      <c r="D20" s="46"/>
      <c r="E20" s="46"/>
    </row>
    <row r="21" customFormat="false" ht="15" hidden="false" customHeight="true" outlineLevel="0" collapsed="false">
      <c r="A21" s="46" t="s">
        <v>700</v>
      </c>
      <c r="B21" s="46"/>
      <c r="C21" s="46"/>
      <c r="D21" s="46"/>
      <c r="E21" s="46"/>
    </row>
    <row r="22" customFormat="false" ht="15" hidden="false" customHeight="true" outlineLevel="0" collapsed="false">
      <c r="A22" s="46" t="s">
        <v>701</v>
      </c>
      <c r="B22" s="46"/>
      <c r="C22" s="46"/>
      <c r="D22" s="46"/>
      <c r="E22" s="46"/>
    </row>
    <row r="23" customFormat="false" ht="15" hidden="false" customHeight="true" outlineLevel="0" collapsed="false">
      <c r="A23" s="46" t="s">
        <v>702</v>
      </c>
      <c r="B23" s="46"/>
      <c r="C23" s="46"/>
      <c r="D23" s="46"/>
      <c r="E23" s="46"/>
    </row>
    <row r="24" customFormat="false" ht="15" hidden="false" customHeight="true" outlineLevel="0" collapsed="false">
      <c r="A24" s="46" t="s">
        <v>703</v>
      </c>
      <c r="B24" s="46"/>
      <c r="C24" s="46"/>
      <c r="D24" s="46"/>
      <c r="E24" s="46"/>
    </row>
  </sheetData>
  <mergeCells count="7">
    <mergeCell ref="A1:E1"/>
    <mergeCell ref="A2:E2"/>
    <mergeCell ref="A20:E20"/>
    <mergeCell ref="A21:E21"/>
    <mergeCell ref="A22:E22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8" min="8" style="0" width="34"/>
  </cols>
  <sheetData>
    <row r="1" customFormat="false" ht="25.5" hidden="false" customHeight="true" outlineLevel="0" collapsed="false">
      <c r="A1" s="1" t="s">
        <v>704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705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47</v>
      </c>
      <c r="B4" s="10" t="s">
        <v>706</v>
      </c>
      <c r="C4" s="10" t="s">
        <v>707</v>
      </c>
      <c r="D4" s="10" t="s">
        <v>708</v>
      </c>
      <c r="E4" s="10" t="s">
        <v>709</v>
      </c>
      <c r="F4" s="10" t="s">
        <v>710</v>
      </c>
      <c r="G4" s="10" t="s">
        <v>711</v>
      </c>
      <c r="H4" s="10" t="s">
        <v>712</v>
      </c>
    </row>
    <row r="5" customFormat="false" ht="26.85" hidden="false" customHeight="false" outlineLevel="0" collapsed="false">
      <c r="A5" s="14" t="s">
        <v>713</v>
      </c>
      <c r="B5" s="47" t="s">
        <v>714</v>
      </c>
      <c r="C5" s="4" t="s">
        <v>715</v>
      </c>
      <c r="D5" s="16" t="s">
        <v>716</v>
      </c>
      <c r="E5" s="15" t="s">
        <v>717</v>
      </c>
      <c r="F5" s="15" t="s">
        <v>717</v>
      </c>
      <c r="G5" s="4" t="s">
        <v>718</v>
      </c>
      <c r="H5" s="4" t="s">
        <v>719</v>
      </c>
    </row>
    <row r="6" customFormat="false" ht="26.85" hidden="false" customHeight="false" outlineLevel="0" collapsed="false">
      <c r="A6" s="14" t="s">
        <v>720</v>
      </c>
      <c r="B6" s="47" t="s">
        <v>721</v>
      </c>
      <c r="C6" s="4" t="s">
        <v>715</v>
      </c>
      <c r="D6" s="15" t="s">
        <v>717</v>
      </c>
      <c r="E6" s="15" t="s">
        <v>717</v>
      </c>
      <c r="F6" s="15" t="s">
        <v>717</v>
      </c>
      <c r="G6" s="4" t="s">
        <v>722</v>
      </c>
      <c r="H6" s="4" t="s">
        <v>723</v>
      </c>
    </row>
    <row r="7" customFormat="false" ht="26.85" hidden="false" customHeight="false" outlineLevel="0" collapsed="false">
      <c r="A7" s="14" t="s">
        <v>724</v>
      </c>
      <c r="B7" s="47" t="s">
        <v>725</v>
      </c>
      <c r="C7" s="4" t="s">
        <v>715</v>
      </c>
      <c r="D7" s="15" t="s">
        <v>717</v>
      </c>
      <c r="E7" s="15" t="s">
        <v>717</v>
      </c>
      <c r="F7" s="15" t="s">
        <v>717</v>
      </c>
      <c r="G7" s="4" t="s">
        <v>726</v>
      </c>
      <c r="H7" s="4" t="s">
        <v>727</v>
      </c>
    </row>
    <row r="8" customFormat="false" ht="23.85" hidden="false" customHeight="false" outlineLevel="0" collapsed="false">
      <c r="A8" s="14" t="s">
        <v>728</v>
      </c>
      <c r="B8" s="47" t="s">
        <v>729</v>
      </c>
      <c r="C8" s="4" t="s">
        <v>715</v>
      </c>
      <c r="D8" s="16" t="s">
        <v>716</v>
      </c>
      <c r="E8" s="16" t="s">
        <v>716</v>
      </c>
      <c r="F8" s="16" t="s">
        <v>716</v>
      </c>
      <c r="G8" s="4" t="s">
        <v>730</v>
      </c>
      <c r="H8" s="4" t="s">
        <v>731</v>
      </c>
    </row>
    <row r="9" customFormat="false" ht="26.85" hidden="false" customHeight="false" outlineLevel="0" collapsed="false">
      <c r="A9" s="14" t="s">
        <v>732</v>
      </c>
      <c r="B9" s="47" t="s">
        <v>733</v>
      </c>
      <c r="C9" s="4" t="s">
        <v>715</v>
      </c>
      <c r="D9" s="16" t="s">
        <v>716</v>
      </c>
      <c r="E9" s="15" t="s">
        <v>717</v>
      </c>
      <c r="F9" s="15" t="s">
        <v>717</v>
      </c>
      <c r="G9" s="4" t="s">
        <v>734</v>
      </c>
      <c r="H9" s="4" t="s">
        <v>735</v>
      </c>
    </row>
    <row r="10" customFormat="false" ht="23.85" hidden="false" customHeight="false" outlineLevel="0" collapsed="false">
      <c r="A10" s="14" t="s">
        <v>736</v>
      </c>
      <c r="B10" s="47" t="s">
        <v>737</v>
      </c>
      <c r="C10" s="4" t="s">
        <v>715</v>
      </c>
      <c r="D10" s="16" t="s">
        <v>716</v>
      </c>
      <c r="E10" s="16" t="s">
        <v>716</v>
      </c>
      <c r="F10" s="16" t="s">
        <v>716</v>
      </c>
      <c r="G10" s="4" t="s">
        <v>738</v>
      </c>
      <c r="H10" s="4" t="s">
        <v>739</v>
      </c>
    </row>
    <row r="11" customFormat="false" ht="23.85" hidden="false" customHeight="false" outlineLevel="0" collapsed="false">
      <c r="A11" s="14" t="s">
        <v>740</v>
      </c>
      <c r="B11" s="4" t="s">
        <v>741</v>
      </c>
      <c r="C11" s="4" t="s">
        <v>742</v>
      </c>
      <c r="D11" s="15" t="s">
        <v>717</v>
      </c>
      <c r="E11" s="16" t="s">
        <v>716</v>
      </c>
      <c r="F11" s="15" t="s">
        <v>717</v>
      </c>
      <c r="G11" s="4" t="s">
        <v>743</v>
      </c>
      <c r="H11" s="4" t="s">
        <v>744</v>
      </c>
    </row>
    <row r="12" customFormat="false" ht="15" hidden="false" customHeight="false" outlineLevel="0" collapsed="false">
      <c r="A12" s="14" t="s">
        <v>745</v>
      </c>
      <c r="B12" s="4" t="s">
        <v>746</v>
      </c>
      <c r="C12" s="4" t="s">
        <v>747</v>
      </c>
      <c r="D12" s="16" t="s">
        <v>716</v>
      </c>
      <c r="E12" s="16" t="s">
        <v>716</v>
      </c>
      <c r="F12" s="16" t="s">
        <v>716</v>
      </c>
      <c r="G12" s="4" t="s">
        <v>748</v>
      </c>
      <c r="H12" s="4" t="s">
        <v>749</v>
      </c>
    </row>
    <row r="13" customFormat="false" ht="23.85" hidden="false" customHeight="false" outlineLevel="0" collapsed="false">
      <c r="A13" s="14" t="s">
        <v>750</v>
      </c>
      <c r="B13" s="4" t="s">
        <v>751</v>
      </c>
      <c r="C13" s="4" t="s">
        <v>747</v>
      </c>
      <c r="D13" s="16" t="s">
        <v>716</v>
      </c>
      <c r="E13" s="15" t="s">
        <v>717</v>
      </c>
      <c r="F13" s="15" t="s">
        <v>717</v>
      </c>
      <c r="G13" s="4" t="s">
        <v>752</v>
      </c>
      <c r="H13" s="4" t="s">
        <v>753</v>
      </c>
    </row>
    <row r="14" customFormat="false" ht="23.85" hidden="false" customHeight="false" outlineLevel="0" collapsed="false">
      <c r="A14" s="14" t="s">
        <v>754</v>
      </c>
      <c r="B14" s="4" t="s">
        <v>755</v>
      </c>
      <c r="C14" s="4" t="s">
        <v>756</v>
      </c>
      <c r="D14" s="15" t="s">
        <v>717</v>
      </c>
      <c r="E14" s="16" t="s">
        <v>716</v>
      </c>
      <c r="F14" s="15" t="s">
        <v>717</v>
      </c>
      <c r="G14" s="4" t="s">
        <v>757</v>
      </c>
      <c r="H14" s="4" t="s">
        <v>758</v>
      </c>
    </row>
    <row r="15" customFormat="false" ht="23.85" hidden="false" customHeight="false" outlineLevel="0" collapsed="false">
      <c r="A15" s="14" t="s">
        <v>759</v>
      </c>
      <c r="B15" s="4" t="s">
        <v>760</v>
      </c>
      <c r="C15" s="4" t="s">
        <v>761</v>
      </c>
      <c r="D15" s="16" t="s">
        <v>716</v>
      </c>
      <c r="E15" s="16" t="s">
        <v>716</v>
      </c>
      <c r="F15" s="16" t="s">
        <v>716</v>
      </c>
      <c r="G15" s="4" t="s">
        <v>762</v>
      </c>
      <c r="H15" s="4" t="s">
        <v>763</v>
      </c>
    </row>
    <row r="16" customFormat="false" ht="23.85" hidden="false" customHeight="false" outlineLevel="0" collapsed="false">
      <c r="A16" s="14" t="s">
        <v>764</v>
      </c>
      <c r="B16" s="4" t="s">
        <v>765</v>
      </c>
      <c r="C16" s="4" t="s">
        <v>766</v>
      </c>
      <c r="D16" s="16" t="s">
        <v>716</v>
      </c>
      <c r="E16" s="15" t="s">
        <v>717</v>
      </c>
      <c r="F16" s="15" t="s">
        <v>717</v>
      </c>
      <c r="G16" s="4" t="s">
        <v>767</v>
      </c>
      <c r="H16" s="4" t="s">
        <v>768</v>
      </c>
    </row>
    <row r="17" customFormat="false" ht="23.85" hidden="false" customHeight="false" outlineLevel="0" collapsed="false">
      <c r="A17" s="14" t="s">
        <v>769</v>
      </c>
      <c r="B17" s="4" t="s">
        <v>770</v>
      </c>
      <c r="C17" s="4" t="s">
        <v>771</v>
      </c>
      <c r="D17" s="16" t="s">
        <v>716</v>
      </c>
      <c r="E17" s="16" t="s">
        <v>716</v>
      </c>
      <c r="F17" s="16" t="s">
        <v>716</v>
      </c>
      <c r="G17" s="4" t="s">
        <v>772</v>
      </c>
      <c r="H17" s="4" t="s">
        <v>773</v>
      </c>
    </row>
    <row r="18" customFormat="false" ht="23.85" hidden="false" customHeight="false" outlineLevel="0" collapsed="false">
      <c r="A18" s="14" t="s">
        <v>774</v>
      </c>
      <c r="B18" s="4" t="s">
        <v>775</v>
      </c>
      <c r="C18" s="4" t="s">
        <v>776</v>
      </c>
      <c r="D18" s="48" t="s">
        <v>777</v>
      </c>
      <c r="E18" s="16" t="s">
        <v>716</v>
      </c>
      <c r="F18" s="48" t="s">
        <v>777</v>
      </c>
      <c r="G18" s="4" t="s">
        <v>778</v>
      </c>
      <c r="H18" s="4" t="s">
        <v>779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2026-10-02T12:42:00Z</dcterms:created>
  <dc:creator>openpyxl</dc:creator>
  <dc:description/>
  <dc:language>en-US</dc:language>
  <cp:lastModifiedBy/>
  <dcterms:modified xsi:type="dcterms:W3CDTF">2026-10-02T12:42:00Z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