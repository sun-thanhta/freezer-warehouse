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Huong dan" sheetId="1" state="visible" r:id="rId3"/>
    <sheet name="01_Cau hoi khach" sheetId="2" state="visible" r:id="rId4"/>
    <sheet name="02_Function list" sheetId="3" state="visible" r:id="rId5"/>
    <sheet name="03_Feature list" sheetId="4" state="visible" r:id="rId6"/>
    <sheet name="04_Man hinh" sheetId="5" state="visible" r:id="rId7"/>
    <sheet name="05_User stories" sheetId="6" state="visible" r:id="rId8"/>
    <sheet name="06_Compliance (88)" sheetId="7" state="visible" r:id="rId9"/>
    <sheet name="07_Estimate-WBS" sheetId="8" state="visible" r:id="rId10"/>
    <sheet name="08_Cost (S5-02)" sheetId="9" state="visible" r:id="rId11"/>
    <sheet name="09_Rui ro" sheetId="10" state="visible" r:id="rId12"/>
    <sheet name="10_Du lieu RFP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<sst xmlns="http://schemas.openxmlformats.org/spreadsheetml/2006/main" count="1636" uniqueCount="932">
  <si>
    <t xml:space="preserve">Hệ thống hỗ trợ nghiệp vụ Food Cold-Chain (YCCMS) — Gói đề xuất (BẢN CHUẨN RFP YCL-RFP-2026-01 (v2.0, 2026-08-13))</t>
  </si>
  <si>
    <r>
      <rPr>
        <i val="true"/>
        <sz val="9"/>
        <rFont val="Arial"/>
        <family val="0"/>
        <charset val="1"/>
      </rPr>
      <t xml:space="preserve">Khách: </t>
    </r>
    <r>
      <rPr>
        <i val="true"/>
        <sz val="9"/>
        <rFont val="Noto Sans CJK SC"/>
        <family val="2"/>
      </rPr>
      <t xml:space="preserve">ユキコールドロジスティクス株式会社 </t>
    </r>
    <r>
      <rPr>
        <i val="true"/>
        <sz val="9"/>
        <rFont val="Arial"/>
        <family val="0"/>
        <charset val="1"/>
      </rPr>
      <t xml:space="preserve">| Vendor: Sun* (Sun Asterisk) — Sun VN02 | PL: Thanh Ta | 2026-10-02 | v2.0 (rebuild bám RFP) | Go-live 2027-06-01</t>
    </r>
  </si>
  <si>
    <t xml:space="preserve">#</t>
  </si>
  <si>
    <t xml:space="preserve">Sheet</t>
  </si>
  <si>
    <t xml:space="preserve">Nội dung</t>
  </si>
  <si>
    <t xml:space="preserve">1</t>
  </si>
  <si>
    <t xml:space="preserve">01_Cau hoi khach</t>
  </si>
  <si>
    <t xml:space="preserve">Câu hỏi gửi khách (đã lọc theo RFP)</t>
  </si>
  <si>
    <t xml:space="preserve">2</t>
  </si>
  <si>
    <t xml:space="preserve">02_Function list</t>
  </si>
  <si>
    <t xml:space="preserve">12 nhóm chức năng (map domain RFP)</t>
  </si>
  <si>
    <t xml:space="preserve">3</t>
  </si>
  <si>
    <t xml:space="preserve">03_Feature list</t>
  </si>
  <si>
    <t xml:space="preserve">47 feature, mỗi feature gắn mã FR/BR/NFR</t>
  </si>
  <si>
    <t xml:space="preserve">4</t>
  </si>
  <si>
    <t xml:space="preserve">04_Man hinh</t>
  </si>
  <si>
    <t xml:space="preserve">41 màn hình</t>
  </si>
  <si>
    <t xml:space="preserve">5</t>
  </si>
  <si>
    <t xml:space="preserve">05_User stories</t>
  </si>
  <si>
    <t xml:space="preserve">12 user story theo fixture R-06</t>
  </si>
  <si>
    <t xml:space="preserve">6</t>
  </si>
  <si>
    <t xml:space="preserve">06_Compliance (88)</t>
  </si>
  <si>
    <t xml:space="preserve">MA TRẬN TUÂN THỦ yêu cầu (Comply/Partial/Assumption)</t>
  </si>
  <si>
    <t xml:space="preserve">7</t>
  </si>
  <si>
    <t xml:space="preserve">07_Estimate-WBS</t>
  </si>
  <si>
    <t xml:space="preserve">Estimate effort + WBS (có công thức)</t>
  </si>
  <si>
    <t xml:space="preserve">8</t>
  </si>
  <si>
    <t xml:space="preserve">08_Cost (S5-02)</t>
  </si>
  <si>
    <t xml:space="preserve">Cost theo template S5-02 (one-time/định kỳ/option)</t>
  </si>
  <si>
    <t xml:space="preserve">9</t>
  </si>
  <si>
    <t xml:space="preserve">09_Rui ro</t>
  </si>
  <si>
    <r>
      <rPr>
        <sz val="10"/>
        <rFont val="Arial"/>
        <family val="0"/>
        <charset val="1"/>
      </rPr>
      <t xml:space="preserve">Rủi ro + bẫy đọc-hiểu (</t>
    </r>
    <r>
      <rPr>
        <sz val="10"/>
        <rFont val="Noto Sans CJK SC"/>
        <family val="2"/>
      </rPr>
      <t xml:space="preserve">重大エラー </t>
    </r>
    <r>
      <rPr>
        <sz val="10"/>
        <rFont val="Arial"/>
        <family val="0"/>
        <charset val="1"/>
      </rPr>
      <t xml:space="preserve">S5-03)</t>
    </r>
  </si>
  <si>
    <t xml:space="preserve">10</t>
  </si>
  <si>
    <t xml:space="preserve">10_Du lieu RFP</t>
  </si>
  <si>
    <t xml:space="preserve">12 SKU + sự thật nền + quy tắc lõi</t>
  </si>
  <si>
    <t xml:space="preserve">QUY TẮC LÕI (chính xác theo RFP)</t>
  </si>
  <si>
    <t xml:space="preserve">◆</t>
  </si>
  <si>
    <r>
      <rPr>
        <sz val="10"/>
        <rFont val="Arial"/>
        <family val="0"/>
        <charset val="1"/>
      </rPr>
      <t xml:space="preserve">FEFO (</t>
    </r>
    <r>
      <rPr>
        <sz val="10"/>
        <rFont val="Noto Sans CJK SC"/>
        <family val="2"/>
      </rPr>
      <t xml:space="preserve">先期限先出し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</si>
  <si>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Chọn lô HSD sớm nhất; CÙNG HSD mới dùng FIFO (</t>
    </r>
    <r>
      <rPr>
        <sz val="10"/>
        <rFont val="Noto Sans CJK SC"/>
        <family val="2"/>
      </rPr>
      <t xml:space="preserve">先入れ先出し</t>
    </r>
    <r>
      <rPr>
        <sz val="10"/>
        <rFont val="Arial"/>
        <family val="0"/>
        <charset val="1"/>
      </rPr>
      <t xml:space="preserve">) làm tie-break. Lô </t>
    </r>
    <r>
      <rPr>
        <sz val="10"/>
        <rFont val="Noto Sans CJK SC"/>
        <family val="2"/>
      </rPr>
      <t xml:space="preserve">隔離 </t>
    </r>
    <r>
      <rPr>
        <sz val="10"/>
        <rFont val="Arial"/>
        <family val="0"/>
        <charset val="1"/>
      </rPr>
      <t xml:space="preserve">không đủ điều kiện.</t>
    </r>
  </si>
  <si>
    <t xml:space="preserve">Chuỗi loại trừ allocation (FR-OUT-02)</t>
  </si>
  <si>
    <r>
      <rPr>
        <sz val="10"/>
        <rFont val="Arial"/>
        <family val="0"/>
        <charset val="1"/>
      </rPr>
      <t xml:space="preserve">Thứ tự cố định: ① </t>
    </r>
    <r>
      <rPr>
        <sz val="10"/>
        <rFont val="Noto Sans CJK SC"/>
        <family val="2"/>
      </rPr>
      <t xml:space="preserve">消費期限 </t>
    </r>
    <r>
      <rPr>
        <sz val="10"/>
        <rFont val="Arial"/>
        <family val="0"/>
        <charset val="1"/>
      </rPr>
      <t xml:space="preserve">quá hạn (hard stop) → ② lệch dải nhiệt (BR-TEMP-02) → ③ đang </t>
    </r>
    <r>
      <rPr>
        <sz val="10"/>
        <rFont val="Noto Sans CJK SC"/>
        <family val="2"/>
      </rPr>
      <t xml:space="preserve">隔離 </t>
    </r>
    <r>
      <rPr>
        <sz val="10"/>
        <rFont val="Arial"/>
        <family val="0"/>
        <charset val="1"/>
      </rPr>
      <t xml:space="preserve">(FR-INV-05) → ④ vi phạm delivery window (BR-DELWIN-01) → ⑤ </t>
    </r>
    <r>
      <rPr>
        <sz val="10"/>
        <rFont val="Noto Sans CJK SC"/>
        <family val="2"/>
      </rPr>
      <t xml:space="preserve">日付逆転 </t>
    </r>
    <r>
      <rPr>
        <sz val="10"/>
        <rFont val="Arial"/>
        <family val="0"/>
        <charset val="1"/>
      </rPr>
      <t xml:space="preserve">(BR-DATE-01) → ⑥ còn lại theo FEFO, cùng HSD thì FIFO. D3 định nghĩa rule, D4 chỉ thực thi thứ tự.</t>
    </r>
  </si>
  <si>
    <t xml:space="preserve">2 loại hạn</t>
  </si>
  <si>
    <r>
      <rPr>
        <sz val="10"/>
        <rFont val="Noto Sans CJK SC"/>
        <family val="2"/>
      </rPr>
      <t xml:space="preserve">賞味期限 </t>
    </r>
    <r>
      <rPr>
        <sz val="10"/>
        <rFont val="Arial"/>
        <family val="0"/>
        <charset val="1"/>
      </rPr>
      <t xml:space="preserve">= cảnh báo (chất lượng); </t>
    </r>
    <r>
      <rPr>
        <sz val="10"/>
        <rFont val="Noto Sans CJK SC"/>
        <family val="2"/>
      </rPr>
      <t xml:space="preserve">消費期限 </t>
    </r>
    <r>
      <rPr>
        <sz val="10"/>
        <rFont val="Arial"/>
        <family val="0"/>
        <charset val="1"/>
      </rPr>
      <t xml:space="preserve">= HARD STOP khi đạt/quá (an toàn). Khai theo SKU (BR-EXP-01/02).</t>
    </r>
  </si>
  <si>
    <r>
      <rPr>
        <sz val="10"/>
        <rFont val="Noto Sans CJK SC"/>
        <family val="2"/>
      </rPr>
      <t xml:space="preserve">日付逆転禁止 </t>
    </r>
    <r>
      <rPr>
        <sz val="10"/>
        <rFont val="Arial"/>
        <family val="0"/>
        <charset val="1"/>
      </rPr>
      <t xml:space="preserve">(BR-DATE-01)</t>
    </r>
  </si>
  <si>
    <t xml:space="preserve">So HSD lô định giao với lần giao gần nhất của ĐÚNG cặp khách-SKU; KHÔNG so hôm nay; không mượn lịch sử khách khác. (VD: CUS-003/CHI-002)</t>
  </si>
  <si>
    <t xml:space="preserve">Quy tắc 1/3 – 1/2 (BR-DELWIN-01)</t>
  </si>
  <si>
    <r>
      <rPr>
        <sz val="10"/>
        <rFont val="Noto Sans CJK SC"/>
        <family val="2"/>
      </rPr>
      <t xml:space="preserve">納品期限 </t>
    </r>
    <r>
      <rPr>
        <sz val="10"/>
        <rFont val="Arial"/>
        <family val="0"/>
        <charset val="1"/>
      </rPr>
      <t xml:space="preserve">theo hợp đồng (ONE_THIRD/ONE_HALF/LABEL_DATE_ONLY) — TẬP QUÁN thương mại, KHÔNG phải luật; không mặc định cho dòng chưa chốt.</t>
    </r>
  </si>
  <si>
    <t xml:space="preserve">Giới hạn giờ lái (FR-SCH-02, số Yuki)</t>
  </si>
  <si>
    <r>
      <rPr>
        <sz val="10"/>
        <rFont val="Arial"/>
        <family val="0"/>
        <charset val="1"/>
      </rPr>
      <t xml:space="preserve">960h</t>
    </r>
    <r>
      <rPr>
        <sz val="10"/>
        <rFont val="Noto Sans CJK SC"/>
        <family val="2"/>
      </rPr>
      <t xml:space="preserve">超勤</t>
    </r>
    <r>
      <rPr>
        <sz val="10"/>
        <rFont val="Arial"/>
        <family val="0"/>
        <charset val="1"/>
      </rPr>
      <t xml:space="preserve">/năm · 3.300h</t>
    </r>
    <r>
      <rPr>
        <sz val="10"/>
        <rFont val="Noto Sans CJK SC"/>
        <family val="2"/>
      </rPr>
      <t xml:space="preserve">拘束</t>
    </r>
    <r>
      <rPr>
        <sz val="10"/>
        <rFont val="Arial"/>
        <family val="0"/>
        <charset val="1"/>
      </rPr>
      <t xml:space="preserve">/năm · 284h/tháng · 13h/ngày (tối đa 15h) · nghỉ 11h mục tiêu/9h tối thiểu · lái TB 9h/ngày (2 ngày), 44h/tuần (2 tuần) · lái liên tục ≤ 4h. Vi phạm → cấm publish.</t>
    </r>
  </si>
  <si>
    <t xml:space="preserve">Truy xuất 3 lane (BR-TRACE)</t>
  </si>
  <si>
    <r>
      <rPr>
        <sz val="10"/>
        <rFont val="Arial"/>
        <family val="0"/>
        <charset val="1"/>
      </rPr>
      <t xml:space="preserve">gạo (</t>
    </r>
    <r>
      <rPr>
        <sz val="10"/>
        <rFont val="Noto Sans CJK SC"/>
        <family val="2"/>
      </rPr>
      <t xml:space="preserve">産地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取引</t>
    </r>
    <r>
      <rPr>
        <sz val="10"/>
        <rFont val="Arial"/>
        <family val="0"/>
        <charset val="1"/>
      </rPr>
      <t xml:space="preserve">, pháp định) · bò (mã cá thể 10 số, pháp định) · nội bộ (lô + link NCC/khách, không bắt buộc). Bò 9 số → business-review, không tự làm tròn.</t>
    </r>
  </si>
  <si>
    <t xml:space="preserve">Bất biến &amp; maker-checker</t>
  </si>
  <si>
    <r>
      <rPr>
        <sz val="10"/>
        <rFont val="Arial"/>
        <family val="0"/>
        <charset val="1"/>
      </rPr>
      <t xml:space="preserve">Event bất biến (sửa = reversal/new version, cấm overwrite); người lập ≠ người duyệt (NFR-SEC-02); </t>
    </r>
    <r>
      <rPr>
        <sz val="10"/>
        <rFont val="Noto Sans CJK SC"/>
        <family val="2"/>
      </rPr>
      <t xml:space="preserve">隔離 </t>
    </r>
    <r>
      <rPr>
        <sz val="10"/>
        <rFont val="Arial"/>
        <family val="0"/>
        <charset val="1"/>
      </rPr>
      <t xml:space="preserve">khóa tồn thật; blind count + duyệt 2 cấp.</t>
    </r>
  </si>
  <si>
    <t xml:space="preserve">POD theo điều kiện (BR-POD-01)</t>
  </si>
  <si>
    <r>
      <rPr>
        <sz val="10"/>
        <rFont val="Noto Sans CJK SC"/>
        <family val="2"/>
      </rPr>
      <t xml:space="preserve">車上渡し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軒先渡し </t>
    </r>
    <r>
      <rPr>
        <sz val="10"/>
        <rFont val="Arial"/>
        <family val="0"/>
        <charset val="1"/>
      </rPr>
      <t xml:space="preserve">khác checkpoint/evidence; ảnh hash, không nhúng ảnh vào CSV; queue offline mã hóa ≤ 8h; kho không offline.</t>
    </r>
  </si>
  <si>
    <t xml:space="preserve">Deliverable 1 — Câu hỏi gửi khách</t>
  </si>
  <si>
    <t xml:space="preserve">Đã bỏ các câu RFP đã trả lời (SKU, dải nhiệt, user, FEFO, go-live, SSO). Chỉ còn điểm thật sự mở.</t>
  </si>
  <si>
    <t xml:space="preserve">ID</t>
  </si>
  <si>
    <t xml:space="preserve">Chủ đề</t>
  </si>
  <si>
    <t xml:space="preserve">Câu hỏi</t>
  </si>
  <si>
    <t xml:space="preserve">Loại</t>
  </si>
  <si>
    <t xml:space="preserve">Giả định hiện tại</t>
  </si>
  <si>
    <t xml:space="preserve">Ảnh hưởng estimate</t>
  </si>
  <si>
    <t xml:space="preserve">Q-01</t>
  </si>
  <si>
    <t xml:space="preserve">Interface ERP</t>
  </si>
  <si>
    <t xml:space="preserve">Đặc tả schema CSV/SFTP của ERP (trường, khóa, lịch batch, idempotency key) như thế nào?</t>
  </si>
  <si>
    <t xml:space="preserve">Chặn báo giá</t>
  </si>
  <si>
    <t xml:space="preserve">Giả định: 1 schema CSV chuẩn, batch ngày.</t>
  </si>
  <si>
    <t xml:space="preserve">Nhiều schema/đối tác → +MD adapter &amp; test.</t>
  </si>
  <si>
    <t xml:space="preserve">Q-02</t>
  </si>
  <si>
    <t xml:space="preserve">Mapping service</t>
  </si>
  <si>
    <t xml:space="preserve">License mapping service (distance/travel time) do Yuki cấp hay Sun* mua? Hạn mức/giá?</t>
  </si>
  <si>
    <t xml:space="preserve">Giả định: Yuki cấp license (IF-MAP-01).</t>
  </si>
  <si>
    <t xml:space="preserve">Sun* mua → thêm chi phí định kỳ + tích hợp.</t>
  </si>
  <si>
    <t xml:space="preserve">Q-03</t>
  </si>
  <si>
    <t xml:space="preserve">IdP / SSO</t>
  </si>
  <si>
    <t xml:space="preserve">IdP doanh nghiệp (OIDC) là gì, cơ chế managed device cho tài xế?</t>
  </si>
  <si>
    <t xml:space="preserve">Giả định: có IdP OIDC + MDM cho tài xế.</t>
  </si>
  <si>
    <t xml:space="preserve">Chưa có → +thiết lập &amp; +MD.</t>
  </si>
  <si>
    <t xml:space="preserve">Q-04</t>
  </si>
  <si>
    <t xml:space="preserve">Datalogger CSV</t>
  </si>
  <si>
    <t xml:space="preserve">Định dạng CSV logger chính xác, cơ chế hash &amp; timezone của thiết bị?</t>
  </si>
  <si>
    <t xml:space="preserve">Giả định: 1 định dạng + hash + timezone rõ.</t>
  </si>
  <si>
    <t xml:space="preserve">Nhiều định dạng → +adapter.</t>
  </si>
  <si>
    <t xml:space="preserve">Q-05</t>
  </si>
  <si>
    <t xml:space="preserve">Hạ tầng</t>
  </si>
  <si>
    <t xml:space="preserve">Cloud vùng Nhật được duyệt? Ràng buộc lưu trú dữ liệu, SLA hosting?</t>
  </si>
  <si>
    <t xml:space="preserve">Giả định: cloud vùng Nhật, 99.5% (NFR-AVL-01).</t>
  </si>
  <si>
    <t xml:space="preserve">On-prem → +chi phí/tiến độ.</t>
  </si>
  <si>
    <t xml:space="preserve">Q-06</t>
  </si>
  <si>
    <t xml:space="preserve">Tiền tệ &amp; thanh toán</t>
  </si>
  <si>
    <t xml:space="preserve">Tiền tệ báo giá, xử lý thuế, mốc thanh toán gắn ACC-GO-01?</t>
  </si>
  <si>
    <t xml:space="preserve">Giả định: JPY, thanh toán theo milestone nghiệm thu.</t>
  </si>
  <si>
    <t xml:space="preserve">Ảnh hưởng cost sheet &amp; hợp đồng.</t>
  </si>
  <si>
    <t xml:space="preserve">Q-07</t>
  </si>
  <si>
    <t xml:space="preserve">Option Phase 2</t>
  </si>
  <si>
    <t xml:space="preserve">Yuki có muốn báo giá kèm option nào (online logger, dự báo, GPS…) ngay không?</t>
  </si>
  <si>
    <t xml:space="preserve">Hỏi sau</t>
  </si>
  <si>
    <t xml:space="preserve">Giả định: chỉ base; option liệt kê giá tham khảo.</t>
  </si>
  <si>
    <t xml:space="preserve">Thêm option → +scope.</t>
  </si>
  <si>
    <t xml:space="preserve">Q-08</t>
  </si>
  <si>
    <t xml:space="preserve">AGR chưa chốt</t>
  </si>
  <si>
    <t xml:space="preserve">Khi nào chốt rule cho AGR-008 &amp; AGR-014? Quy trình cập nhật?</t>
  </si>
  <si>
    <t xml:space="preserve">Giả định: giữ business-review tới khi khách chốt.</t>
  </si>
  <si>
    <t xml:space="preserve">Không ảnh hưởng kiến trúc.</t>
  </si>
  <si>
    <t xml:space="preserve">Q-09</t>
  </si>
  <si>
    <t xml:space="preserve">Onsite</t>
  </si>
  <si>
    <t xml:space="preserve">Mức độ cần onsite tại Nhật (cutover/UAT/training)?</t>
  </si>
  <si>
    <t xml:space="preserve">Giả định: onsite giai đoạn cutover &amp; UAT.</t>
  </si>
  <si>
    <t xml:space="preserve">Ảnh hưởng chi phí công tác.</t>
  </si>
  <si>
    <t xml:space="preserve">Q-10</t>
  </si>
  <si>
    <t xml:space="preserve">Báo cáo &amp; KPI</t>
  </si>
  <si>
    <t xml:space="preserve">Chi tiết 12 báo cáo &amp; định nghĩa KPI (phân tử/mẫu/except) có sẵn chưa?</t>
  </si>
  <si>
    <t xml:space="preserve">Giả định: theo catalog D8; chốt chi tiết ở BD.</t>
  </si>
  <si>
    <t xml:space="preserve">Tùy biến nhiều → +MD.</t>
  </si>
  <si>
    <t xml:space="preserve">Deliverable 2 — Function list (12 nhóm)</t>
  </si>
  <si>
    <t xml:space="preserve">Map theo domain RFP D1–D8 + S3/S4.</t>
  </si>
  <si>
    <t xml:space="preserve">Nhóm chức năng</t>
  </si>
  <si>
    <t xml:space="preserve">Phạm vi / mã liên quan</t>
  </si>
  <si>
    <t xml:space="preserve">F01</t>
  </si>
  <si>
    <t xml:space="preserve">Master &amp; dữ liệu nền</t>
  </si>
  <si>
    <t xml:space="preserve">SKU/customer-SKU contract/supplier/location/device; effective-dated; maker-checker (DR-MST-01).</t>
  </si>
  <si>
    <t xml:space="preserve">F02</t>
  </si>
  <si>
    <t xml:space="preserve">Nhập &amp; kiểm hàng</t>
  </si>
  <si>
    <r>
      <rPr>
        <sz val="10"/>
        <rFont val="Arial"/>
        <family val="0"/>
        <charset val="1"/>
      </rPr>
      <t xml:space="preserve">Appointment, kiểm nhập (nhiệt/lô/hạn/ảnh), tạo lô bất biến, </t>
    </r>
    <r>
      <rPr>
        <sz val="10"/>
        <rFont val="Noto Sans CJK SC"/>
        <family val="2"/>
      </rPr>
      <t xml:space="preserve">隔離 </t>
    </r>
    <r>
      <rPr>
        <sz val="10"/>
        <rFont val="Arial"/>
        <family val="0"/>
        <charset val="1"/>
      </rPr>
      <t xml:space="preserve">(FR-REC-*).</t>
    </r>
  </si>
  <si>
    <t xml:space="preserve">F03</t>
  </si>
  <si>
    <t xml:space="preserve">Tồn kho, lô &amp; 3 dải nhiệt</t>
  </si>
  <si>
    <r>
      <rPr>
        <sz val="10"/>
        <rFont val="Arial"/>
        <family val="0"/>
        <charset val="1"/>
      </rPr>
      <t xml:space="preserve">Vị trí/sức chứa, put-away, FEFO access, blind count, state machine </t>
    </r>
    <r>
      <rPr>
        <sz val="10"/>
        <rFont val="Noto Sans CJK SC"/>
        <family val="2"/>
      </rPr>
      <t xml:space="preserve">隔離 </t>
    </r>
    <r>
      <rPr>
        <sz val="10"/>
        <rFont val="Arial"/>
        <family val="0"/>
        <charset val="1"/>
      </rPr>
      <t xml:space="preserve">(FR-INV-*, BR-TEMP).</t>
    </r>
  </si>
  <si>
    <t xml:space="preserve">F04</t>
  </si>
  <si>
    <t xml:space="preserve">Hạn dùng, FEFO &amp; delivery window</t>
  </si>
  <si>
    <r>
      <rPr>
        <sz val="10"/>
        <rFont val="Arial"/>
        <family val="0"/>
        <charset val="1"/>
      </rPr>
      <t xml:space="preserve">2 loại hạn, FEFO/FIFO, </t>
    </r>
    <r>
      <rPr>
        <sz val="10"/>
        <rFont val="Noto Sans CJK SC"/>
        <family val="2"/>
      </rPr>
      <t xml:space="preserve">日付逆転</t>
    </r>
    <r>
      <rPr>
        <sz val="10"/>
        <rFont val="Arial"/>
        <family val="0"/>
        <charset val="1"/>
      </rPr>
      <t xml:space="preserve">, window 1/3-1/2 (BR-EXP/FEFO/DATE/DELWIN).</t>
    </r>
  </si>
  <si>
    <t xml:space="preserve">F05</t>
  </si>
  <si>
    <t xml:space="preserve">Xuất kho, allocation &amp; POD</t>
  </si>
  <si>
    <r>
      <rPr>
        <sz val="10"/>
        <rFont val="Arial"/>
        <family val="0"/>
        <charset val="1"/>
      </rPr>
      <t xml:space="preserve">Đơn, allocation theo chuỗi loại trừ, pick/load kiểm soát, POD </t>
    </r>
    <r>
      <rPr>
        <sz val="10"/>
        <rFont val="Noto Sans CJK SC"/>
        <family val="2"/>
      </rPr>
      <t xml:space="preserve">車上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軒先 </t>
    </r>
    <r>
      <rPr>
        <sz val="10"/>
        <rFont val="Arial"/>
        <family val="0"/>
        <charset val="1"/>
      </rPr>
      <t xml:space="preserve">(FR-OUT-*, BR-POD).</t>
    </r>
  </si>
  <si>
    <t xml:space="preserve">F06</t>
  </si>
  <si>
    <t xml:space="preserve">Lập tuyến &amp; giờ lái</t>
  </si>
  <si>
    <t xml:space="preserve">Tuyến, kiểm ràng buộc giờ lái, version publish, sự cố (FR-SCH-*).</t>
  </si>
  <si>
    <t xml:space="preserve">F07</t>
  </si>
  <si>
    <t xml:space="preserve">Giám sát nhiệt &amp; HACCP</t>
  </si>
  <si>
    <t xml:space="preserve">Import CSV logger, đánh giá reading, alarm/deviation, completeness HACCP (FR-TEMP-*, BR-HACCP).</t>
  </si>
  <si>
    <t xml:space="preserve">F08</t>
  </si>
  <si>
    <t xml:space="preserve">Truy xuất &amp; recall</t>
  </si>
  <si>
    <t xml:space="preserve">3 lane (gạo/bò/nội bộ), truy vết xuôi-ngược, recall + đối soát số lượng (FR-TRC-*, BR-TRACE).</t>
  </si>
  <si>
    <t xml:space="preserve">F09</t>
  </si>
  <si>
    <t xml:space="preserve">Báo cáo, KPI &amp; audit</t>
  </si>
  <si>
    <t xml:space="preserve">12 báo cáo, audit export manifest, KPI theo đo lường chuẩn (FR-RPT-*, NFR-AUD-01).</t>
  </si>
  <si>
    <t xml:space="preserve">F10</t>
  </si>
  <si>
    <t xml:space="preserve">Tích hợp &amp; trao đổi file</t>
  </si>
  <si>
    <t xml:space="preserve">ERP SFTP, logger CSV, mapping service, OIDC, mail relay, archive (IF-*).</t>
  </si>
  <si>
    <t xml:space="preserve">F11</t>
  </si>
  <si>
    <t xml:space="preserve">Bảo mật, phân quyền &amp; chất lượng NFR</t>
  </si>
  <si>
    <t xml:space="preserve">SSO/MFA/RBAC/mã hóa, performance/BCP/observability/WCAG (NFR-*, ACC-NFR-01).</t>
  </si>
  <si>
    <t xml:space="preserve">F12</t>
  </si>
  <si>
    <t xml:space="preserve">Migration &amp; chuyển đổi</t>
  </si>
  <si>
    <t xml:space="preserve">Lineage, 2 rehearsal, đối soát, cutover/parallel, training (DR-MIG-01, S4).</t>
  </si>
  <si>
    <t xml:space="preserve">Deliverable 3 — Feature list (47)</t>
  </si>
  <si>
    <t xml:space="preserve">Mỗi feature gắn đúng 1 function + mã yêu cầu RFP (FR/BR/NFR/DR/IF).</t>
  </si>
  <si>
    <t xml:space="preserve">Func</t>
  </si>
  <si>
    <t xml:space="preserve">Tính năng</t>
  </si>
  <si>
    <t xml:space="preserve">Mã yêu cầu</t>
  </si>
  <si>
    <t xml:space="preserve">Ưu tiên</t>
  </si>
  <si>
    <t xml:space="preserve">FE-01</t>
  </si>
  <si>
    <t xml:space="preserve">Quản lý SKU (dải nhiệt, loại hạn, lane truy xuất, regulated id)</t>
  </si>
  <si>
    <t xml:space="preserve">DR-MST-01, BR-EXP-01</t>
  </si>
  <si>
    <t xml:space="preserve">P0</t>
  </si>
  <si>
    <t xml:space="preserve">FE-02</t>
  </si>
  <si>
    <t xml:space="preserve">Hợp đồng khách-SKU (delivery_term, delivery_window_rule, effective)</t>
  </si>
  <si>
    <t xml:space="preserve">DR-MST-01, BR-DELWIN-01</t>
  </si>
  <si>
    <t xml:space="preserve">FE-03</t>
  </si>
  <si>
    <t xml:space="preserve">Master NCC / vị trí (zone) / device + vòng đời created→active→retired</t>
  </si>
  <si>
    <t xml:space="preserve">DR-MST-01</t>
  </si>
  <si>
    <t xml:space="preserve">FE-04</t>
  </si>
  <si>
    <t xml:space="preserve">Maker-checker: người lập không tự duyệt bản ghi</t>
  </si>
  <si>
    <t xml:space="preserve">NFR-SEC-02</t>
  </si>
  <si>
    <t xml:space="preserve">FE-05</t>
  </si>
  <si>
    <t xml:space="preserve">Appointment nhập + cảnh báo trùng tham chiếu NCC</t>
  </si>
  <si>
    <t xml:space="preserve">FR-REC-01</t>
  </si>
  <si>
    <t xml:space="preserve">P1</t>
  </si>
  <si>
    <t xml:space="preserve">FE-06</t>
  </si>
  <si>
    <t xml:space="preserve">Kiểm nhập (field P0 bắt buộc) + tạo lô/stock unit bất biến idempotent</t>
  </si>
  <si>
    <t xml:space="preserve">FR-REC-02, FR-REC-04</t>
  </si>
  <si>
    <t xml:space="preserve">FE-07</t>
  </si>
  <si>
    <r>
      <rPr>
        <sz val="10"/>
        <rFont val="Arial"/>
        <family val="0"/>
        <charset val="1"/>
      </rPr>
      <t xml:space="preserve">Nhận/từ chối/giữ + mã lý do; chuyển </t>
    </r>
    <r>
      <rPr>
        <sz val="10"/>
        <rFont val="Noto Sans CJK SC"/>
        <family val="2"/>
      </rPr>
      <t xml:space="preserve">隔離 </t>
    </r>
    <r>
      <rPr>
        <sz val="10"/>
        <rFont val="Arial"/>
        <family val="0"/>
        <charset val="1"/>
      </rPr>
      <t xml:space="preserve">khi lỗi</t>
    </r>
  </si>
  <si>
    <t xml:space="preserve">FR-REC-03, FR-REC-05</t>
  </si>
  <si>
    <t xml:space="preserve">FE-08</t>
  </si>
  <si>
    <t xml:space="preserve">Vị trí: sức chứa/dải nhiệt/tình trạng; gợi ý vị trí hợp lệ</t>
  </si>
  <si>
    <t xml:space="preserve">FR-INV-01, FR-INV-02</t>
  </si>
  <si>
    <t xml:space="preserve">FE-09</t>
  </si>
  <si>
    <t xml:space="preserve">Ghi mọi di chuyển; cấm tồn âm/ngoài dải nhiệt; idempotent</t>
  </si>
  <si>
    <t xml:space="preserve">FR-INV-03</t>
  </si>
  <si>
    <t xml:space="preserve">FE-10</t>
  </si>
  <si>
    <r>
      <rPr>
        <sz val="10"/>
        <rFont val="Arial"/>
        <family val="0"/>
        <charset val="1"/>
      </rPr>
      <t xml:space="preserve">State machine </t>
    </r>
    <r>
      <rPr>
        <sz val="10"/>
        <rFont val="Noto Sans CJK SC"/>
        <family val="2"/>
      </rPr>
      <t xml:space="preserve">隔離 </t>
    </r>
    <r>
      <rPr>
        <sz val="10"/>
        <rFont val="Arial"/>
        <family val="0"/>
        <charset val="1"/>
      </rPr>
      <t xml:space="preserve">(available→quarantine→release/scrap) + khóa tồn</t>
    </r>
  </si>
  <si>
    <t xml:space="preserve">FR-INV-05</t>
  </si>
  <si>
    <t xml:space="preserve">FE-11</t>
  </si>
  <si>
    <t xml:space="preserve">Blind count + duyệt 2 cấp khi chênh lệch vượt ngưỡng</t>
  </si>
  <si>
    <t xml:space="preserve">FR-INV-04</t>
  </si>
  <si>
    <t xml:space="preserve">FE-12</t>
  </si>
  <si>
    <t xml:space="preserve">Tìm tồn đa tiêu chí</t>
  </si>
  <si>
    <t xml:space="preserve">FR-INV-06</t>
  </si>
  <si>
    <t xml:space="preserve">FE-13</t>
  </si>
  <si>
    <t xml:space="preserve">Cấu hình 2 loại hạn theo SKU + đường quyết định</t>
  </si>
  <si>
    <t xml:space="preserve">BR-EXP-01</t>
  </si>
  <si>
    <t xml:space="preserve">FE-14</t>
  </si>
  <si>
    <r>
      <rPr>
        <sz val="10"/>
        <rFont val="Arial"/>
        <family val="0"/>
        <charset val="1"/>
      </rPr>
      <t xml:space="preserve">Hard stop </t>
    </r>
    <r>
      <rPr>
        <sz val="10"/>
        <rFont val="Noto Sans CJK SC"/>
        <family val="2"/>
      </rPr>
      <t xml:space="preserve">消費期限 </t>
    </r>
    <r>
      <rPr>
        <sz val="10"/>
        <rFont val="Arial"/>
        <family val="0"/>
        <charset val="1"/>
      </rPr>
      <t xml:space="preserve">khi allocation/giao + exception bất biến</t>
    </r>
  </si>
  <si>
    <t xml:space="preserve">BR-EXP-02</t>
  </si>
  <si>
    <t xml:space="preserve">FE-15</t>
  </si>
  <si>
    <r>
      <rPr>
        <sz val="10"/>
        <rFont val="Arial"/>
        <family val="0"/>
        <charset val="1"/>
      </rPr>
      <t xml:space="preserve">FEFO (cùng HSD → FIFO); loại lô </t>
    </r>
    <r>
      <rPr>
        <sz val="10"/>
        <rFont val="Noto Sans CJK SC"/>
        <family val="2"/>
      </rPr>
      <t xml:space="preserve">隔離</t>
    </r>
  </si>
  <si>
    <t xml:space="preserve">BR-FEFO-01</t>
  </si>
  <si>
    <t xml:space="preserve">FE-16</t>
  </si>
  <si>
    <r>
      <rPr>
        <sz val="10"/>
        <rFont val="Noto Sans CJK SC"/>
        <family val="2"/>
      </rPr>
      <t xml:space="preserve">日付逆転 </t>
    </r>
    <r>
      <rPr>
        <sz val="10"/>
        <rFont val="Arial"/>
        <family val="0"/>
        <charset val="1"/>
      </rPr>
      <t xml:space="preserve">theo cặp khách-SKU (lịch sử bất biến DR-HIST-01)</t>
    </r>
  </si>
  <si>
    <t xml:space="preserve">BR-DATE-01, DR-HIST-01</t>
  </si>
  <si>
    <t xml:space="preserve">FE-17</t>
  </si>
  <si>
    <t xml:space="preserve">Delivery window ONE_THIRD/ONE_HALF/LABEL_DATE_ONLY theo hợp đồng; dòng chưa chốt = business-review</t>
  </si>
  <si>
    <t xml:space="preserve">BR-DELWIN-01</t>
  </si>
  <si>
    <t xml:space="preserve">FE-18</t>
  </si>
  <si>
    <t xml:space="preserve">Tạo đơn + xử lý lỗi master/trùng</t>
  </si>
  <si>
    <t xml:space="preserve">FR-OUT-01</t>
  </si>
  <si>
    <t xml:space="preserve">FE-19</t>
  </si>
  <si>
    <t xml:space="preserve">Allocation nguyên tử theo chuỗi loại trừ 6 bước; không over-allocate</t>
  </si>
  <si>
    <t xml:space="preserve">FR-OUT-02</t>
  </si>
  <si>
    <t xml:space="preserve">FE-20</t>
  </si>
  <si>
    <t xml:space="preserve">Pick gom theo khu/tuyến + kiểm pick/tải barcode (lô/nhiệt/SL/seal)</t>
  </si>
  <si>
    <t xml:space="preserve">FR-OUT-03, FR-OUT-04</t>
  </si>
  <si>
    <t xml:space="preserve">FE-21</t>
  </si>
  <si>
    <t xml:space="preserve">Kiểm trước xuất (nhiệt xe/hàng/seal/giờ) + deviation</t>
  </si>
  <si>
    <t xml:space="preserve">FR-OUT-05</t>
  </si>
  <si>
    <t xml:space="preserve">FE-22</t>
  </si>
  <si>
    <r>
      <rPr>
        <sz val="10"/>
        <rFont val="Arial"/>
        <family val="0"/>
        <charset val="1"/>
      </rPr>
      <t xml:space="preserve">POD theo điều kiện </t>
    </r>
    <r>
      <rPr>
        <sz val="10"/>
        <rFont val="Noto Sans CJK SC"/>
        <family val="2"/>
      </rPr>
      <t xml:space="preserve">車上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軒先</t>
    </r>
    <r>
      <rPr>
        <sz val="10"/>
        <rFont val="Arial"/>
        <family val="0"/>
        <charset val="1"/>
      </rPr>
      <t xml:space="preserve">; ảnh hash; queue offline ≤8h</t>
    </r>
  </si>
  <si>
    <t xml:space="preserve">FR-OUT-06, BR-POD-01</t>
  </si>
  <si>
    <t xml:space="preserve">FE-23</t>
  </si>
  <si>
    <t xml:space="preserve">Trả hàng/khiếu nại liên kết dòng giao/lô/bằng chứng</t>
  </si>
  <si>
    <t xml:space="preserve">FR-OUT-07</t>
  </si>
  <si>
    <t xml:space="preserve">FE-24</t>
  </si>
  <si>
    <t xml:space="preserve">Lập tuyến từ đơn/dải nhiệt xe/khung giờ/service/depot</t>
  </si>
  <si>
    <t xml:space="preserve">FR-SCH-01</t>
  </si>
  <si>
    <t xml:space="preserve">FE-25</t>
  </si>
  <si>
    <t xml:space="preserve">Kiểm ràng buộc giờ lái (960h/3300h/284h/13-15h/nghỉ/≤4h) → cấm publish khi vi phạm</t>
  </si>
  <si>
    <t xml:space="preserve">FR-SCH-02, FR-SCH-03</t>
  </si>
  <si>
    <t xml:space="preserve">FE-26</t>
  </si>
  <si>
    <t xml:space="preserve">Publish tuyến có version + lý do đổi; tài xế nhận bản mới</t>
  </si>
  <si>
    <t xml:space="preserve">FR-SCH-04</t>
  </si>
  <si>
    <t xml:space="preserve">FE-27</t>
  </si>
  <si>
    <t xml:space="preserve">Ghi sự cố tách khỏi tuân thủ thường</t>
  </si>
  <si>
    <t xml:space="preserve">FR-SCH-05</t>
  </si>
  <si>
    <t xml:space="preserve">FE-28</t>
  </si>
  <si>
    <t xml:space="preserve">Import CSV logger (hash/timezone) idempotent + từ chối dòng lỗi</t>
  </si>
  <si>
    <t xml:space="preserve">FR-TEMP-01</t>
  </si>
  <si>
    <t xml:space="preserve">FE-29</t>
  </si>
  <si>
    <t xml:space="preserve">Đánh giá reading theo threshold version + dashboard nhiệt</t>
  </si>
  <si>
    <t xml:space="preserve">FR-TEMP-02</t>
  </si>
  <si>
    <t xml:space="preserve">FE-30</t>
  </si>
  <si>
    <t xml:space="preserve">Alarm SLA 15′ + nhật ký review trễ</t>
  </si>
  <si>
    <t xml:space="preserve">FR-TEMP-03</t>
  </si>
  <si>
    <t xml:space="preserve">FE-31</t>
  </si>
  <si>
    <t xml:space="preserve">Deviation case + corrective action; không đóng khi thiếu rationale</t>
  </si>
  <si>
    <t xml:space="preserve">FR-TEMP-04</t>
  </si>
  <si>
    <t xml:space="preserve">FE-32</t>
  </si>
  <si>
    <t xml:space="preserve">Completeness HACCP theo nhịp Yuki + queue thiếu record</t>
  </si>
  <si>
    <t xml:space="preserve">BR-HACCP-01</t>
  </si>
  <si>
    <t xml:space="preserve">FE-33</t>
  </si>
  <si>
    <t xml:space="preserve">Truy vết xuôi/ngược + chỉ điểm đứt liên kết</t>
  </si>
  <si>
    <t xml:space="preserve">FR-TRC-01</t>
  </si>
  <si>
    <t xml:space="preserve">FE-34</t>
  </si>
  <si>
    <r>
      <rPr>
        <sz val="10"/>
        <rFont val="Arial"/>
        <family val="0"/>
        <charset val="1"/>
      </rPr>
      <t xml:space="preserve">3 lane: gạo (</t>
    </r>
    <r>
      <rPr>
        <sz val="10"/>
        <rFont val="Noto Sans CJK SC"/>
        <family val="2"/>
      </rPr>
      <t xml:space="preserve">産地</t>
    </r>
    <r>
      <rPr>
        <sz val="10"/>
        <rFont val="Arial"/>
        <family val="0"/>
        <charset val="1"/>
      </rPr>
      <t xml:space="preserve">), bò (mã 10 số, 9 số→review), nội bộ (link cấu trúc)</t>
    </r>
  </si>
  <si>
    <t xml:space="preserve">BR-TRACE-01/02/03</t>
  </si>
  <si>
    <t xml:space="preserve">FE-35</t>
  </si>
  <si>
    <t xml:space="preserve">Recall case + đối soát affected=on-hand+shipped=returned+unresolved+disposed</t>
  </si>
  <si>
    <t xml:space="preserve">FR-TRC-02</t>
  </si>
  <si>
    <t xml:space="preserve">FE-36</t>
  </si>
  <si>
    <t xml:space="preserve">Thông báo recall có version + approver</t>
  </si>
  <si>
    <t xml:space="preserve">FR-TRC-03</t>
  </si>
  <si>
    <t xml:space="preserve">FE-37</t>
  </si>
  <si>
    <t xml:space="preserve">12 báo cáo vận hành (lọc + CSV + quyền)</t>
  </si>
  <si>
    <t xml:space="preserve">FR-RPT-01</t>
  </si>
  <si>
    <t xml:space="preserve">FE-38</t>
  </si>
  <si>
    <t xml:space="preserve">Audit export + checksum manifest tái tạo được</t>
  </si>
  <si>
    <t xml:space="preserve">FR-RPT-02, NFR-AUD-01</t>
  </si>
  <si>
    <t xml:space="preserve">FE-39</t>
  </si>
  <si>
    <t xml:space="preserve">Dashboard KPI theo đo lường chuẩn (phân tử/mẫu/JST/version công thức)</t>
  </si>
  <si>
    <t xml:space="preserve">FE-40</t>
  </si>
  <si>
    <t xml:space="preserve">ERP SFTP CSV (schema version + idempotency)</t>
  </si>
  <si>
    <t xml:space="preserve">IF-ERP-01</t>
  </si>
  <si>
    <t xml:space="preserve">FE-41</t>
  </si>
  <si>
    <t xml:space="preserve">Mapping service (travel time, cache/timeout)</t>
  </si>
  <si>
    <t xml:space="preserve">IF-MAP-01</t>
  </si>
  <si>
    <t xml:space="preserve">FE-42</t>
  </si>
  <si>
    <t xml:space="preserve">OIDC SSO + mail relay + archive export manifest</t>
  </si>
  <si>
    <t xml:space="preserve">IF-IDP-01, IF-MAIL-01, IF-ARCH-01</t>
  </si>
  <si>
    <t xml:space="preserve">FE-43</t>
  </si>
  <si>
    <t xml:space="preserve">SSO/MFA/managed device + RBAC + mã hóa + append-only audit</t>
  </si>
  <si>
    <t xml:space="preserve">NFR-SEC-01/02/03, NFR-AUD-01</t>
  </si>
  <si>
    <t xml:space="preserve">FE-44</t>
  </si>
  <si>
    <t xml:space="preserve">Hiệu năng (p95, load test 80 user) + BCP (RTO4h/RPO15′) + observability</t>
  </si>
  <si>
    <t xml:space="preserve">NFR-PERF-01/02, NFR-BCP-01, NFR-OPS-01</t>
  </si>
  <si>
    <t xml:space="preserve">FE-45</t>
  </si>
  <si>
    <t xml:space="preserve">Bản địa JP/JST + Accessibility WCAG 2.2 AA</t>
  </si>
  <si>
    <t xml:space="preserve">NFR-LOC-01, NFR-ACC-01</t>
  </si>
  <si>
    <t xml:space="preserve">FE-46</t>
  </si>
  <si>
    <t xml:space="preserve">Migration lineage + 2 rehearsal + đối soát + xử lý dirty data (ACCEPT/REJECT/DUPLICATE/BUSINESS-REVIEW)</t>
  </si>
  <si>
    <t xml:space="preserve">DR-MIG-01, ACC-MIG-01</t>
  </si>
  <si>
    <t xml:space="preserve">FE-47</t>
  </si>
  <si>
    <t xml:space="preserve">Cutover + parallel-run (old = read-only) + rollback</t>
  </si>
  <si>
    <t xml:space="preserve">ACC-GO-01</t>
  </si>
  <si>
    <t xml:space="preserve">Deliverable 4 — Danh sách màn hình (41)</t>
  </si>
  <si>
    <t xml:space="preserve">Đầu vào LAB-2/3. Cột 'Độ PT' (S/M/C) dùng cho estimate (sheet 07).</t>
  </si>
  <si>
    <t xml:space="preserve">SCR</t>
  </si>
  <si>
    <t xml:space="preserve">Tên màn hình</t>
  </si>
  <si>
    <t xml:space="preserve">Actor</t>
  </si>
  <si>
    <t xml:space="preserve">Độ PT</t>
  </si>
  <si>
    <t xml:space="preserve">SCR-00</t>
  </si>
  <si>
    <t xml:space="preserve">Đăng nhập (SSO/OIDC)</t>
  </si>
  <si>
    <t xml:space="preserve">Tất cả</t>
  </si>
  <si>
    <t xml:space="preserve">Form</t>
  </si>
  <si>
    <t xml:space="preserve">S</t>
  </si>
  <si>
    <t xml:space="preserve">SCR-01</t>
  </si>
  <si>
    <t xml:space="preserve">Dashboard vận hành &amp; KPI</t>
  </si>
  <si>
    <t xml:space="preserve">Quản lý</t>
  </si>
  <si>
    <t xml:space="preserve">Dashboard</t>
  </si>
  <si>
    <t xml:space="preserve">C</t>
  </si>
  <si>
    <t xml:space="preserve">SCR-02</t>
  </si>
  <si>
    <t xml:space="preserve">Master SKU (hạn/lane/dải nhiệt)</t>
  </si>
  <si>
    <t xml:space="preserve">Admin/QA</t>
  </si>
  <si>
    <t xml:space="preserve">M</t>
  </si>
  <si>
    <t xml:space="preserve">SCR-03</t>
  </si>
  <si>
    <t xml:space="preserve">Hợp đồng khách-SKU (window/term)</t>
  </si>
  <si>
    <t xml:space="preserve">Sales/Admin</t>
  </si>
  <si>
    <t xml:space="preserve">SCR-04</t>
  </si>
  <si>
    <t xml:space="preserve">Master NCC/vị trí/device</t>
  </si>
  <si>
    <t xml:space="preserve">Admin</t>
  </si>
  <si>
    <t xml:space="preserve">List+Form</t>
  </si>
  <si>
    <t xml:space="preserve">SCR-05</t>
  </si>
  <si>
    <t xml:space="preserve">Hàng chờ duyệt (maker-checker)</t>
  </si>
  <si>
    <t xml:space="preserve">Approver</t>
  </si>
  <si>
    <t xml:space="preserve">List</t>
  </si>
  <si>
    <t xml:space="preserve">SCR-06</t>
  </si>
  <si>
    <t xml:space="preserve">Appointment nhập</t>
  </si>
  <si>
    <t xml:space="preserve">Kho</t>
  </si>
  <si>
    <t xml:space="preserve">SCR-07</t>
  </si>
  <si>
    <t xml:space="preserve">Kiểm nhập (nhiệt/lô/hạn/ảnh)</t>
  </si>
  <si>
    <t xml:space="preserve">SCR-08</t>
  </si>
  <si>
    <t xml:space="preserve">Tồn kho đa tiêu chí</t>
  </si>
  <si>
    <t xml:space="preserve">Kho/QL</t>
  </si>
  <si>
    <t xml:space="preserve">SCR-09</t>
  </si>
  <si>
    <t xml:space="preserve">Vị trí &amp; put-away gợi ý</t>
  </si>
  <si>
    <t xml:space="preserve">SCR-10</t>
  </si>
  <si>
    <r>
      <rPr>
        <sz val="10"/>
        <rFont val="Noto Sans CJK SC"/>
        <family val="2"/>
      </rPr>
      <t xml:space="preserve">隔離 </t>
    </r>
    <r>
      <rPr>
        <sz val="10"/>
        <rFont val="Arial"/>
        <family val="0"/>
        <charset val="1"/>
      </rPr>
      <t xml:space="preserve">/ release / scrap</t>
    </r>
  </si>
  <si>
    <t xml:space="preserve">QA</t>
  </si>
  <si>
    <t xml:space="preserve">SCR-11</t>
  </si>
  <si>
    <t xml:space="preserve">Blind count &amp; duyệt chênh lệch</t>
  </si>
  <si>
    <t xml:space="preserve">SCR-12</t>
  </si>
  <si>
    <t xml:space="preserve">Đơn xuất</t>
  </si>
  <si>
    <t xml:space="preserve">Sales/Kho</t>
  </si>
  <si>
    <t xml:space="preserve">SCR-13</t>
  </si>
  <si>
    <t xml:space="preserve">Allocation (chuỗi loại trừ) &amp; FEFO</t>
  </si>
  <si>
    <t xml:space="preserve">SCR-14</t>
  </si>
  <si>
    <t xml:space="preserve">Pick &amp; kiểm tải (barcode/seal)</t>
  </si>
  <si>
    <t xml:space="preserve">SCR-15</t>
  </si>
  <si>
    <t xml:space="preserve">Kiểm trước xuất + deviation</t>
  </si>
  <si>
    <t xml:space="preserve">SCR-16</t>
  </si>
  <si>
    <r>
      <rPr>
        <sz val="10"/>
        <rFont val="Arial"/>
        <family val="0"/>
        <charset val="1"/>
      </rPr>
      <t xml:space="preserve">POD (</t>
    </r>
    <r>
      <rPr>
        <sz val="10"/>
        <rFont val="Noto Sans CJK SC"/>
        <family val="2"/>
      </rPr>
      <t xml:space="preserve">車上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軒先</t>
    </r>
    <r>
      <rPr>
        <sz val="10"/>
        <rFont val="Arial"/>
        <family val="0"/>
        <charset val="1"/>
      </rPr>
      <t xml:space="preserve">) + ngoại lệ</t>
    </r>
  </si>
  <si>
    <t xml:space="preserve">Tài xế</t>
  </si>
  <si>
    <t xml:space="preserve">SCR-17</t>
  </si>
  <si>
    <t xml:space="preserve">Trả hàng / khiếu nại</t>
  </si>
  <si>
    <t xml:space="preserve">CS</t>
  </si>
  <si>
    <t xml:space="preserve">SCR-18</t>
  </si>
  <si>
    <t xml:space="preserve">Lập tuyến &amp; gán xe/tài xế</t>
  </si>
  <si>
    <t xml:space="preserve">配車計画</t>
  </si>
  <si>
    <t xml:space="preserve">SCR-19</t>
  </si>
  <si>
    <r>
      <rPr>
        <sz val="10"/>
        <rFont val="Arial"/>
        <family val="0"/>
        <charset val="1"/>
      </rPr>
      <t xml:space="preserve">Bảng kiểm giờ lái (</t>
    </r>
    <r>
      <rPr>
        <sz val="10"/>
        <rFont val="Noto Sans CJK SC"/>
        <family val="2"/>
      </rPr>
      <t xml:space="preserve">拘束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連続</t>
    </r>
    <r>
      <rPr>
        <sz val="10"/>
        <rFont val="Arial"/>
        <family val="0"/>
        <charset val="1"/>
      </rPr>
      <t xml:space="preserve">)</t>
    </r>
  </si>
  <si>
    <t xml:space="preserve">Detail</t>
  </si>
  <si>
    <t xml:space="preserve">SCR-20</t>
  </si>
  <si>
    <t xml:space="preserve">Publish tuyến (version) &amp; sự cố</t>
  </si>
  <si>
    <t xml:space="preserve">SCR-21</t>
  </si>
  <si>
    <t xml:space="preserve">Itinerary tài xế (device)</t>
  </si>
  <si>
    <t xml:space="preserve">SCR-22</t>
  </si>
  <si>
    <t xml:space="preserve">Import CSV nhiệt (hash)</t>
  </si>
  <si>
    <t xml:space="preserve">SCR-23</t>
  </si>
  <si>
    <t xml:space="preserve">Dashboard nhiệt theo zone</t>
  </si>
  <si>
    <t xml:space="preserve">QA/QL</t>
  </si>
  <si>
    <t xml:space="preserve">SCR-24</t>
  </si>
  <si>
    <t xml:space="preserve">Hàng đợi alarm (SLA 15′)</t>
  </si>
  <si>
    <t xml:space="preserve">SCR-25</t>
  </si>
  <si>
    <t xml:space="preserve">Deviation case + corrective</t>
  </si>
  <si>
    <t xml:space="preserve">SCR-26</t>
  </si>
  <si>
    <t xml:space="preserve">Completeness HACCP</t>
  </si>
  <si>
    <t xml:space="preserve">SCR-27</t>
  </si>
  <si>
    <t xml:space="preserve">Truy vết xuôi/ngược</t>
  </si>
  <si>
    <t xml:space="preserve">SCR-28</t>
  </si>
  <si>
    <t xml:space="preserve">Recall case &amp; đối soát số lượng</t>
  </si>
  <si>
    <t xml:space="preserve">SCR-29</t>
  </si>
  <si>
    <t xml:space="preserve">Thông báo recall (version)</t>
  </si>
  <si>
    <t xml:space="preserve">SCR-30</t>
  </si>
  <si>
    <t xml:space="preserve">Trung tâm 12 báo cáo</t>
  </si>
  <si>
    <t xml:space="preserve">QL</t>
  </si>
  <si>
    <t xml:space="preserve">Report</t>
  </si>
  <si>
    <t xml:space="preserve">SCR-31</t>
  </si>
  <si>
    <t xml:space="preserve">Audit export (manifest)</t>
  </si>
  <si>
    <t xml:space="preserve">Auditor</t>
  </si>
  <si>
    <t xml:space="preserve">SCR-32</t>
  </si>
  <si>
    <t xml:space="preserve">Cấu hình ngưỡng nhiệt (version)</t>
  </si>
  <si>
    <t xml:space="preserve">SCR-33</t>
  </si>
  <si>
    <t xml:space="preserve">Quản lý người dùng &amp; RBAC</t>
  </si>
  <si>
    <t xml:space="preserve">SCR-34</t>
  </si>
  <si>
    <t xml:space="preserve">Audit log (append-only)</t>
  </si>
  <si>
    <t xml:space="preserve">SCR-35</t>
  </si>
  <si>
    <t xml:space="preserve">Cấu hình interface (ERP/logger/map/IdP/mail)</t>
  </si>
  <si>
    <t xml:space="preserve">IT</t>
  </si>
  <si>
    <t xml:space="preserve">SCR-36</t>
  </si>
  <si>
    <t xml:space="preserve">Theo dõi import/export file</t>
  </si>
  <si>
    <t xml:space="preserve">SCR-37</t>
  </si>
  <si>
    <t xml:space="preserve">Migration: mapping &amp; lineage</t>
  </si>
  <si>
    <t xml:space="preserve">Data lead</t>
  </si>
  <si>
    <t xml:space="preserve">SCR-38</t>
  </si>
  <si>
    <t xml:space="preserve">Migration: đối soát &amp; dirty data</t>
  </si>
  <si>
    <t xml:space="preserve">SCR-39</t>
  </si>
  <si>
    <t xml:space="preserve">Cutover checklist &amp; go/no-go</t>
  </si>
  <si>
    <t xml:space="preserve">PM/Owners</t>
  </si>
  <si>
    <t xml:space="preserve">SCR-40</t>
  </si>
  <si>
    <t xml:space="preserve">Cấu hình hệ thống &amp; tham số</t>
  </si>
  <si>
    <t xml:space="preserve">Deliverable 5 — User stories (fixture R-06)</t>
  </si>
  <si>
    <t xml:space="preserve">Acceptance criteria dùng đúng dữ liệu RFP (CUS-003/CHI-002, bò 9 số, AGR-008/014…).</t>
  </si>
  <si>
    <t xml:space="preserve">Là (actor)</t>
  </si>
  <si>
    <t xml:space="preserve">Tôi muốn</t>
  </si>
  <si>
    <t xml:space="preserve">Để mà</t>
  </si>
  <si>
    <t xml:space="preserve">Acceptance criteria</t>
  </si>
  <si>
    <t xml:space="preserve">US-01</t>
  </si>
  <si>
    <t xml:space="preserve">Nhân viên kho</t>
  </si>
  <si>
    <t xml:space="preserve">được allocation theo đúng chuỗi loại trừ 6 bước</t>
  </si>
  <si>
    <t xml:space="preserve">không giao lô vi phạm bất kỳ quy tắc nào</t>
  </si>
  <si>
    <r>
      <rPr>
        <sz val="10"/>
        <rFont val="Arial"/>
        <family val="0"/>
        <charset val="1"/>
      </rPr>
      <t xml:space="preserve">• Thứ tự: </t>
    </r>
    <r>
      <rPr>
        <sz val="10"/>
        <rFont val="Noto Sans CJK SC"/>
        <family val="2"/>
      </rPr>
      <t xml:space="preserve">消費期限 </t>
    </r>
    <r>
      <rPr>
        <sz val="10"/>
        <rFont val="Arial"/>
        <family val="0"/>
        <charset val="1"/>
      </rPr>
      <t xml:space="preserve">quá hạn → lệch dải nhiệt → </t>
    </r>
    <r>
      <rPr>
        <sz val="10"/>
        <rFont val="Noto Sans CJK SC"/>
        <family val="2"/>
      </rPr>
      <t xml:space="preserve">隔離 → </t>
    </r>
    <r>
      <rPr>
        <sz val="10"/>
        <rFont val="Arial"/>
        <family val="0"/>
        <charset val="1"/>
      </rPr>
      <t xml:space="preserve">delivery window → </t>
    </r>
    <r>
      <rPr>
        <sz val="10"/>
        <rFont val="Noto Sans CJK SC"/>
        <family val="2"/>
      </rPr>
      <t xml:space="preserve">日付逆転 → </t>
    </r>
    <r>
      <rPr>
        <sz val="10"/>
        <rFont val="Arial"/>
        <family val="0"/>
        <charset val="1"/>
      </rPr>
      <t xml:space="preserve">FEFO (cùng HSD→FIFO)
• Allocation nguyên tử: 2 request song song không over-allocate cùng lô
• Mỗi lần loại trừ ghi rõ lý do + dữ liệu dùng</t>
    </r>
  </si>
  <si>
    <t xml:space="preserve">FR-OUT-02, BR-EXP-02, BR-FEFO-01, BR-DATE-01</t>
  </si>
  <si>
    <t xml:space="preserve">US-02</t>
  </si>
  <si>
    <t xml:space="preserve">Nhân viên giao vận</t>
  </si>
  <si>
    <t xml:space="preserve">bị CHẶN khi lô có HSD cũ hơn lần giao gần nhất của đúng cặp khách-SKU</t>
  </si>
  <si>
    <r>
      <rPr>
        <sz val="10"/>
        <rFont val="Arial"/>
        <family val="0"/>
        <charset val="1"/>
      </rPr>
      <t xml:space="preserve">không vi phạm </t>
    </r>
    <r>
      <rPr>
        <sz val="10"/>
        <rFont val="Noto Sans CJK SC"/>
        <family val="2"/>
      </rPr>
      <t xml:space="preserve">日付逆転禁止</t>
    </r>
  </si>
  <si>
    <t xml:space="preserve">• Given CUS-003/CHI-002 đã nhận HSD 2026-09-20; When allocation đề xuất HSD 2026-09-18; Then CHẶN dù hôm nay còn xa HSD
• CUS-004 cùng SKU nhưng không có lịch sử → KHÔNG dùng lịch sử CUS-003
• Lịch sử giao bất biến (DR-HIST-01); ngoại lệ chỉ quản lý duyệt + audit</t>
  </si>
  <si>
    <t xml:space="preserve">US-03</t>
  </si>
  <si>
    <t xml:space="preserve">Nhân viên QA</t>
  </si>
  <si>
    <r>
      <rPr>
        <sz val="10"/>
        <rFont val="Arial"/>
        <family val="0"/>
        <charset val="1"/>
      </rPr>
      <t xml:space="preserve">có </t>
    </r>
    <r>
      <rPr>
        <sz val="10"/>
        <rFont val="Noto Sans CJK SC"/>
        <family val="2"/>
      </rPr>
      <t xml:space="preserve">消費期限 </t>
    </r>
    <r>
      <rPr>
        <sz val="10"/>
        <rFont val="Arial"/>
        <family val="0"/>
        <charset val="1"/>
      </rPr>
      <t xml:space="preserve">là HARD STOP còn </t>
    </r>
    <r>
      <rPr>
        <sz val="10"/>
        <rFont val="Noto Sans CJK SC"/>
        <family val="2"/>
      </rPr>
      <t xml:space="preserve">賞味期限 </t>
    </r>
    <r>
      <rPr>
        <sz val="10"/>
        <rFont val="Arial"/>
        <family val="0"/>
        <charset val="1"/>
      </rPr>
      <t xml:space="preserve">là cảnh báo</t>
    </r>
  </si>
  <si>
    <t xml:space="preserve">chặn đúng hàng mất an toàn, cảnh báo đúng hàng giảm chất lượng</t>
  </si>
  <si>
    <r>
      <rPr>
        <sz val="10"/>
        <rFont val="Noto Sans CJK SC"/>
        <family val="2"/>
      </rPr>
      <t xml:space="preserve">• 消費期限 </t>
    </r>
    <r>
      <rPr>
        <sz val="10"/>
        <rFont val="Arial"/>
        <family val="0"/>
        <charset val="1"/>
      </rPr>
      <t xml:space="preserve">đạt/quá → chặn allocation &amp; giao + exception bất biến (BR-EXP-02)
• </t>
    </r>
    <r>
      <rPr>
        <sz val="10"/>
        <rFont val="Noto Sans CJK SC"/>
        <family val="2"/>
      </rPr>
      <t xml:space="preserve">賞味期限 </t>
    </r>
    <r>
      <rPr>
        <sz val="10"/>
        <rFont val="Arial"/>
        <family val="0"/>
        <charset val="1"/>
      </rPr>
      <t xml:space="preserve">quá window → cảnh báo (không hard block), nêu rõ 'tập quán, không phải hạn thực'
• Mỗi SKU chỉ 1 loại hạn; đổi loại hạn ghi audit</t>
    </r>
  </si>
  <si>
    <t xml:space="preserve">BR-EXP-01, BR-EXP-02, BR-DELWIN-01</t>
  </si>
  <si>
    <t xml:space="preserve">US-04</t>
  </si>
  <si>
    <t xml:space="preserve">cấu hình delivery window theo hợp đồng khách-SKU</t>
  </si>
  <si>
    <t xml:space="preserve">áp đúng tập quán từng dòng, không đoán dòng chưa chốt</t>
  </si>
  <si>
    <t xml:space="preserve">• ONE_THIRD / ONE_HALF / LABEL_DATE_ONLY theo agreement
• AGR-008/AGR-014 chưa chốt → giữ trạng thái business-review, KHÔNG mặc định
• Thêm rule sau không đổi cấu trúc dữ liệu</t>
  </si>
  <si>
    <t xml:space="preserve">US-05</t>
  </si>
  <si>
    <r>
      <rPr>
        <sz val="10"/>
        <rFont val="Arial"/>
        <family val="0"/>
        <charset val="1"/>
      </rPr>
      <t xml:space="preserve">được gợi ý lô theo FEFO và loại lô </t>
    </r>
    <r>
      <rPr>
        <sz val="10"/>
        <rFont val="Noto Sans CJK SC"/>
        <family val="2"/>
      </rPr>
      <t xml:space="preserve">隔離</t>
    </r>
  </si>
  <si>
    <t xml:space="preserve">xuất đúng thứ tự hạn và không chạm hàng đang cách ly</t>
  </si>
  <si>
    <r>
      <rPr>
        <sz val="10"/>
        <rFont val="Arial"/>
        <family val="0"/>
        <charset val="1"/>
      </rPr>
      <t xml:space="preserve">• Chọn HSD sớm nhất; cùng HSD theo giờ nhập (FIFO)
• Lô </t>
    </r>
    <r>
      <rPr>
        <sz val="10"/>
        <rFont val="Noto Sans CJK SC"/>
        <family val="2"/>
      </rPr>
      <t xml:space="preserve">隔離 </t>
    </r>
    <r>
      <rPr>
        <sz val="10"/>
        <rFont val="Arial"/>
        <family val="0"/>
        <charset val="1"/>
      </rPr>
      <t xml:space="preserve">không xuất hiện kể cả khi HSD sớm hơn
• Chọn khác gợi ý phải có lý do + ghi vết</t>
    </r>
  </si>
  <si>
    <t xml:space="preserve">BR-FEFO-01, FR-INV-05</t>
  </si>
  <si>
    <t xml:space="preserve">US-06</t>
  </si>
  <si>
    <r>
      <rPr>
        <sz val="10"/>
        <rFont val="Arial"/>
        <family val="0"/>
        <charset val="1"/>
      </rPr>
      <t xml:space="preserve">Nhân viên </t>
    </r>
    <r>
      <rPr>
        <sz val="10"/>
        <rFont val="Noto Sans CJK SC"/>
        <family val="2"/>
      </rPr>
      <t xml:space="preserve">配車計画</t>
    </r>
  </si>
  <si>
    <t xml:space="preserve">được kiểm ràng buộc giờ lái trước khi publish tuyến</t>
  </si>
  <si>
    <t xml:space="preserve">lịch không vi phạm quy định</t>
  </si>
  <si>
    <r>
      <rPr>
        <sz val="10"/>
        <rFont val="Arial"/>
        <family val="0"/>
        <charset val="1"/>
      </rPr>
      <t xml:space="preserve">• Kiểm </t>
    </r>
    <r>
      <rPr>
        <sz val="10"/>
        <rFont val="Noto Sans CJK SC"/>
        <family val="2"/>
      </rPr>
      <t xml:space="preserve">超勤 </t>
    </r>
    <r>
      <rPr>
        <sz val="10"/>
        <rFont val="Arial"/>
        <family val="0"/>
        <charset val="1"/>
      </rPr>
      <t xml:space="preserve">960h/năm, </t>
    </r>
    <r>
      <rPr>
        <sz val="10"/>
        <rFont val="Noto Sans CJK SC"/>
        <family val="2"/>
      </rPr>
      <t xml:space="preserve">拘束 </t>
    </r>
    <r>
      <rPr>
        <sz val="10"/>
        <rFont val="Arial"/>
        <family val="0"/>
        <charset val="1"/>
      </rPr>
      <t xml:space="preserve">3.300h/năm &amp; 284h/tháng, ngày ≤13h (tối đa 15h), nghỉ ≥9h, lái liên tục ≤4h
• Vi phạm → CẤM publish + nêu chính xác khoảng giờ vi phạm
• Tuyến publish gắn version bản quy tắc; đổi sau publish cần lý do</t>
    </r>
  </si>
  <si>
    <t xml:space="preserve">FR-SCH-02, FR-SCH-04</t>
  </si>
  <si>
    <t xml:space="preserve">US-07</t>
  </si>
  <si>
    <t xml:space="preserve">import CSV logger có hash và được cảnh báo khi vượt ngưỡng</t>
  </si>
  <si>
    <t xml:space="preserve">giám sát chuỗi lạnh phục vụ HACCP</t>
  </si>
  <si>
    <t xml:space="preserve">• Cùng hash → xử lý idempotent; dòng sai format bị từ chối kèm số dòng
• Đánh giá theo threshold version của SKU/zone; lưu first/last/peak/duration + lô ảnh hưởng
• Alarm chưa xử lý hiển thị thời gian còn lại trước SLA 15′</t>
  </si>
  <si>
    <t xml:space="preserve">FR-TEMP-01, FR-TEMP-02, FR-TEMP-03</t>
  </si>
  <si>
    <t xml:space="preserve">US-08</t>
  </si>
  <si>
    <t xml:space="preserve">truy xuất 3 lane đúng bản chất</t>
  </si>
  <si>
    <t xml:space="preserve">đáp ứng pháp định gạo/bò và truy nội bộ</t>
  </si>
  <si>
    <r>
      <rPr>
        <sz val="10"/>
        <rFont val="Arial"/>
        <family val="0"/>
        <charset val="1"/>
      </rPr>
      <t xml:space="preserve">• Gạo: </t>
    </r>
    <r>
      <rPr>
        <sz val="10"/>
        <rFont val="Noto Sans CJK SC"/>
        <family val="2"/>
      </rPr>
      <t xml:space="preserve">産地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取引</t>
    </r>
    <r>
      <rPr>
        <sz val="10"/>
        <rFont val="Arial"/>
        <family val="0"/>
        <charset val="1"/>
      </rPr>
      <t xml:space="preserve">; Bò: mã cá thể 10 số xuyên suốt; thiếu/không đúng 10 số → chặn
• Bò 9 số (fixture dòng 210) → business-review, KHÔNG tự làm tròn thành 10
• Recall: affected = on-hand + shipped = returned + unresolved + disposed</t>
    </r>
  </si>
  <si>
    <t xml:space="preserve">BR-TRACE-01, BR-TRACE-02, FR-TRC-02</t>
  </si>
  <si>
    <t xml:space="preserve">US-09</t>
  </si>
  <si>
    <t xml:space="preserve">ghi POD theo đúng điều kiện giao</t>
  </si>
  <si>
    <t xml:space="preserve">bằng chứng khớp hợp đồng, giảm tranh chấp</t>
  </si>
  <si>
    <r>
      <rPr>
        <sz val="10"/>
        <rFont val="Noto Sans CJK SC"/>
        <family val="2"/>
      </rPr>
      <t xml:space="preserve">• 車上渡し </t>
    </r>
    <r>
      <rPr>
        <sz val="10"/>
        <rFont val="Arial"/>
        <family val="0"/>
        <charset val="1"/>
      </rPr>
      <t xml:space="preserve">và </t>
    </r>
    <r>
      <rPr>
        <sz val="10"/>
        <rFont val="Noto Sans CJK SC"/>
        <family val="2"/>
      </rPr>
      <t xml:space="preserve">軒先渡し </t>
    </r>
    <r>
      <rPr>
        <sz val="10"/>
        <rFont val="Arial"/>
        <family val="0"/>
        <charset val="1"/>
      </rPr>
      <t xml:space="preserve">có checkpoint/evidence khác nhau (BR-POD-01)
• Ảnh hash khi upload; không nhúng ảnh vào CSV; sửa = version mới link bản cũ
• Mất mạng: queue mã hóa ≤8h, đối soát 1 lần khi online</t>
    </r>
  </si>
  <si>
    <t xml:space="preserve">FR-OUT-06, BR-POD-01, NFR-AVL-02</t>
  </si>
  <si>
    <t xml:space="preserve">US-10</t>
  </si>
  <si>
    <t xml:space="preserve">chạy migration có lineage và xử lý dirty data</t>
  </si>
  <si>
    <t xml:space="preserve">không suy diễn dữ liệu mập mờ, có đối soát</t>
  </si>
  <si>
    <t xml:space="preserve">• Mỗi dòng: ACCEPT/REJECT/DUPLICATE/BUSINESS-REVIEW + lý do + source row
• HSD trống / nhiều định dạng ngày / Excel serial / đổi mã khách / dòng hoàn âm: không tự sửa
• Mỗi rehearsal: source = accept + reject + duplicate; business owner ký exception</t>
  </si>
  <si>
    <t xml:space="preserve">US-11</t>
  </si>
  <si>
    <t xml:space="preserve">đăng nhập SSO, quyền cao có MFA, phân quyền RBAC + maker-checker</t>
  </si>
  <si>
    <t xml:space="preserve">bảo mật và tách trách nhiệm</t>
  </si>
  <si>
    <t xml:space="preserve">• SSO/OIDC; MFA cho role đặc quyền; tài xế dùng managed device
• Người lập bản ghi không tự duyệt bản ghi đó
• Mọi state/master/approval/export/auth ghi append-only</t>
  </si>
  <si>
    <t xml:space="preserve">NFR-SEC-01, NFR-SEC-02, NFR-AUD-01</t>
  </si>
  <si>
    <t xml:space="preserve">US-12</t>
  </si>
  <si>
    <t xml:space="preserve">xuất bằng chứng audit tái tạo được</t>
  </si>
  <si>
    <t xml:space="preserve">trả lời câu hỏi kiểm toán nhanh</t>
  </si>
  <si>
    <t xml:space="preserve">• Export có checksum manifest; người có quyền tái tạo đúng kết quả
• Chỉ đọc; quyền xem/sensitive/retention kế thừa từ dữ liệu nguồn</t>
  </si>
  <si>
    <t xml:space="preserve">Deliverable 6 — Ma trận tuân thủ yêu cầu (RFP nêu 88; bảng liệt kê 89 mã gồm 2 ràng buộc NUM)</t>
  </si>
  <si>
    <t xml:space="preserve">Comply / Partial / Assumption theo S5-01 §2. Mỗi dòng Assumption nêu phụ thuộc cần làm rõ.</t>
  </si>
  <si>
    <t xml:space="preserve">Mã</t>
  </si>
  <si>
    <t xml:space="preserve">Nhóm</t>
  </si>
  <si>
    <t xml:space="preserve">Yêu cầu</t>
  </si>
  <si>
    <t xml:space="preserve">Tuân thủ</t>
  </si>
  <si>
    <t xml:space="preserve">Ghi chú</t>
  </si>
  <si>
    <t xml:space="preserve">D1 Nhập</t>
  </si>
  <si>
    <t xml:space="preserve">Tạo appointment nhập: ETA NCC, dải nhiệt xe, số dòng dự kiến; cảnh báo trùng mã tham chiếu NCC</t>
  </si>
  <si>
    <t xml:space="preserve">Comply</t>
  </si>
  <si>
    <t xml:space="preserve">FR-REC-02</t>
  </si>
  <si>
    <t xml:space="preserve">Ghi kiểm từng dòng: đóng gói, SL, lô, loại hạn, HSD, nhiệt đo, ảnh; thiếu field P0 → chặn</t>
  </si>
  <si>
    <t xml:space="preserve">Chốt kiểm nhập</t>
  </si>
  <si>
    <t xml:space="preserve">FR-REC-03</t>
  </si>
  <si>
    <t xml:space="preserve">Ghi nhận/từ chối/giữ SL + mã lý do; tổng khớp số báo hoặc duyệt phân tán</t>
  </si>
  <si>
    <t xml:space="preserve">FR-REC-04</t>
  </si>
  <si>
    <t xml:space="preserve">Tạo lô &amp; stock unit bất biến; idempotent khi retry (không trùng khóa lô)</t>
  </si>
  <si>
    <t xml:space="preserve">Bất biến + idempotent</t>
  </si>
  <si>
    <t xml:space="preserve">FR-REC-05</t>
  </si>
  <si>
    <r>
      <rPr>
        <sz val="10"/>
        <rFont val="Arial"/>
        <family val="0"/>
        <charset val="1"/>
      </rPr>
      <t xml:space="preserve">Chuyển </t>
    </r>
    <r>
      <rPr>
        <sz val="10"/>
        <rFont val="Noto Sans CJK SC"/>
        <family val="2"/>
      </rPr>
      <t xml:space="preserve">隔離 </t>
    </r>
    <r>
      <rPr>
        <sz val="10"/>
        <rFont val="Arial"/>
        <family val="0"/>
        <charset val="1"/>
      </rPr>
      <t xml:space="preserve">khi lỗi nhiệt/truy xuất; hàng </t>
    </r>
    <r>
      <rPr>
        <sz val="10"/>
        <rFont val="Noto Sans CJK SC"/>
        <family val="2"/>
      </rPr>
      <t xml:space="preserve">隔離 </t>
    </r>
    <r>
      <rPr>
        <sz val="10"/>
        <rFont val="Arial"/>
        <family val="0"/>
        <charset val="1"/>
      </rPr>
      <t xml:space="preserve">không giữ chỗ/pick</t>
    </r>
  </si>
  <si>
    <t xml:space="preserve">FR-INV-01</t>
  </si>
  <si>
    <t xml:space="preserve">D2 Tồn kho</t>
  </si>
  <si>
    <t xml:space="preserve">Giữ sức chứa/dải nhiệt/tình trạng theo vị trí; put-away vượt chứa/vị trí đóng → chặn</t>
  </si>
  <si>
    <t xml:space="preserve">FR-INV-02</t>
  </si>
  <si>
    <t xml:space="preserve">Gợi ý vị trí hợp lệ theo dải nhiệt/tình trạng/khả năng FEFO; vị trí sai luôn bị chặn</t>
  </si>
  <si>
    <t xml:space="preserve">Ghi mọi di chuyển (nguồn/đích/lô/SL/actor/device/giờ); cấm tồn âm &amp; chuyển ngoài dải nhiệt</t>
  </si>
  <si>
    <t xml:space="preserve">Blind count (ẩn số tồn); chênh lệch cần lý do + duyệt 2 cấp (maker-checker)</t>
  </si>
  <si>
    <t xml:space="preserve">Maker-checker</t>
  </si>
  <si>
    <t xml:space="preserve">State machine available/quarantine/release/scrap, chỉ chuyển hợp lệ, lịch sử bất biến</t>
  </si>
  <si>
    <r>
      <rPr>
        <sz val="10"/>
        <rFont val="Noto Sans CJK SC"/>
        <family val="2"/>
      </rPr>
      <t xml:space="preserve">隔離 </t>
    </r>
    <r>
      <rPr>
        <sz val="10"/>
        <rFont val="Arial"/>
        <family val="0"/>
        <charset val="1"/>
      </rPr>
      <t xml:space="preserve">khóa tồn</t>
    </r>
  </si>
  <si>
    <t xml:space="preserve">Tìm tồn đa tiêu chí (SKU/lô/NCC/HSD/loại hạn/dải nhiệt/tình trạng/vị trí)</t>
  </si>
  <si>
    <t xml:space="preserve">D4 Xuất</t>
  </si>
  <si>
    <t xml:space="preserve">Tạo dòng đơn (khách/SKU/SL/ngày/điều kiện giao/tham chiếu); lỗi master &amp; trùng xử lý được</t>
  </si>
  <si>
    <r>
      <rPr>
        <sz val="10"/>
        <rFont val="Arial"/>
        <family val="0"/>
        <charset val="1"/>
      </rPr>
      <t xml:space="preserve">Allocation nguyên tử theo chuỗi loại trừ (</t>
    </r>
    <r>
      <rPr>
        <sz val="10"/>
        <rFont val="Noto Sans CJK SC"/>
        <family val="2"/>
      </rPr>
      <t xml:space="preserve">消費→</t>
    </r>
    <r>
      <rPr>
        <sz val="10"/>
        <rFont val="Arial"/>
        <family val="0"/>
        <charset val="1"/>
      </rPr>
      <t xml:space="preserve">nhiệt→</t>
    </r>
    <r>
      <rPr>
        <sz val="10"/>
        <rFont val="Noto Sans CJK SC"/>
        <family val="2"/>
      </rPr>
      <t xml:space="preserve">隔離→</t>
    </r>
    <r>
      <rPr>
        <sz val="10"/>
        <rFont val="Arial"/>
        <family val="0"/>
        <charset val="1"/>
      </rPr>
      <t xml:space="preserve">window→</t>
    </r>
    <r>
      <rPr>
        <sz val="10"/>
        <rFont val="Noto Sans CJK SC"/>
        <family val="2"/>
      </rPr>
      <t xml:space="preserve">日付逆転→</t>
    </r>
    <r>
      <rPr>
        <sz val="10"/>
        <rFont val="Arial"/>
        <family val="0"/>
        <charset val="1"/>
      </rPr>
      <t xml:space="preserve">FEFO/FIFO); không over-allocate</t>
    </r>
  </si>
  <si>
    <t xml:space="preserve">LÕI nghiệp vụ</t>
  </si>
  <si>
    <t xml:space="preserve">FR-OUT-03</t>
  </si>
  <si>
    <t xml:space="preserve">Gom pick theo khu/tuyến/thứ tự tải; đổi task giữ allocation gốc + audit</t>
  </si>
  <si>
    <t xml:space="preserve">FR-OUT-04</t>
  </si>
  <si>
    <t xml:space="preserve">Kiểm pick/tải bằng barcode/nhập kiểm soát (SKU/lô/SL/xe/seal); lỗi → chặn tải</t>
  </si>
  <si>
    <t xml:space="preserve">Ghi kiểm trước xuất (nhiệt xe/nhiệt hàng/seal/giờ); ngoài policy → deviation + chặn</t>
  </si>
  <si>
    <t xml:space="preserve">FR-OUT-06</t>
  </si>
  <si>
    <t xml:space="preserve">POD theo điều kiện (giờ/vị trí/người nhận/chữ ký-ảnh/mã ngoại lệ); queue offline mã hóa, đối soát 1 lần</t>
  </si>
  <si>
    <t xml:space="preserve">Offline ≤8h</t>
  </si>
  <si>
    <t xml:space="preserve">Liên kết trả hàng/khiếu nại với dòng giao/lô/bằng chứng/tình trạng/chuỗi giám hộ</t>
  </si>
  <si>
    <t xml:space="preserve">D5 Lập tuyến</t>
  </si>
  <si>
    <t xml:space="preserve">Lập tuyến từ đơn/dải nhiệt xe/khung giờ/service time/giờ depot; đơn chưa gán + lý do hiển thị</t>
  </si>
  <si>
    <t xml:space="preserve">FR-SCH-02</t>
  </si>
  <si>
    <r>
      <rPr>
        <sz val="10"/>
        <rFont val="Arial"/>
        <family val="0"/>
        <charset val="1"/>
      </rPr>
      <t xml:space="preserve">Kiểm </t>
    </r>
    <r>
      <rPr>
        <sz val="10"/>
        <rFont val="Noto Sans CJK SC"/>
        <family val="2"/>
      </rPr>
      <t xml:space="preserve">超勤</t>
    </r>
    <r>
      <rPr>
        <sz val="10"/>
        <rFont val="Arial"/>
        <family val="0"/>
        <charset val="1"/>
      </rPr>
      <t xml:space="preserve">/tổng giờ/nghỉ/lái TB/lái liên tục theo bản quy tắc; vi phạm → cấm publish + nêu khoảng giờ</t>
    </r>
  </si>
  <si>
    <t xml:space="preserve">Số giờ chính xác</t>
  </si>
  <si>
    <t xml:space="preserve">FR-SCH-03</t>
  </si>
  <si>
    <t xml:space="preserve">Chèn nghỉ đủ trước khi lái liên tục quá 4h; vị trí/thời lượng nghỉ hiển thị</t>
  </si>
  <si>
    <t xml:space="preserve">Publish tuyến có version; đổi sau publish cần lý do; tài xế nhận bản mới nhất, bản cũ audit</t>
  </si>
  <si>
    <t xml:space="preserve">Ghi sự cố (tai nạn/hỏng xe/thiên tai) riêng, bất biến, không ghi đè tuân thủ</t>
  </si>
  <si>
    <t xml:space="preserve">D6 Nhiệt/HACCP</t>
  </si>
  <si>
    <t xml:space="preserve">Import CSV logger có hash+device timestamp+timezone; cùng hash idempotent; dòng lỗi từ chối kèm số dòng</t>
  </si>
  <si>
    <t xml:space="preserve">Đánh giá reading theo policy/threshold SKU/zone; lưu first/last/peak/duration+version+lô ảnh hưởng</t>
  </si>
  <si>
    <t xml:space="preserve">Hiển thị alarm chưa xử lý; ghi review đầu trong 15′; review trễ đánh dấu &amp; vào báo cáo</t>
  </si>
  <si>
    <t xml:space="preserve">Deviation case (alarm→investigation→evidence→inventory→corrective→decision); thiếu rationale/đính kèm → không đóng</t>
  </si>
  <si>
    <t xml:space="preserve">D7 Truy xuất</t>
  </si>
  <si>
    <r>
      <rPr>
        <sz val="10"/>
        <rFont val="Arial"/>
        <family val="0"/>
        <charset val="1"/>
      </rPr>
      <t xml:space="preserve">Truy xuất từ lô/SKU/NCC/</t>
    </r>
    <r>
      <rPr>
        <sz val="10"/>
        <rFont val="Noto Sans CJK SC"/>
        <family val="2"/>
      </rPr>
      <t xml:space="preserve">産地 </t>
    </r>
    <r>
      <rPr>
        <sz val="10"/>
        <rFont val="Arial"/>
        <family val="0"/>
        <charset val="1"/>
      </rPr>
      <t xml:space="preserve">gạo/mã bò → tồn &amp; giao liên quan; chỉ rõ điểm đứt liên kết</t>
    </r>
  </si>
  <si>
    <t xml:space="preserve">Recall case (scope/lô/khách/SL/liên hệ/task/hạn); đối soát affected=on-hand+shipped=returned+unresolved+disposed</t>
  </si>
  <si>
    <t xml:space="preserve">Sinh thông báo recall (khách/nội bộ) có version, cần approver trước gửi</t>
  </si>
  <si>
    <t xml:space="preserve">D8 Báo cáo</t>
  </si>
  <si>
    <t xml:space="preserve">12 báo cáo vận hành (lọc kỳ/khách/SKU/dải/tình trạng + xuất CSV + quyền theo role)</t>
  </si>
  <si>
    <t xml:space="preserve">FR-RPT-02</t>
  </si>
  <si>
    <t xml:space="preserve">Xuất bằng chứng audit (case/event/đính kèm/index/source hash) + checksum manifest tái tạo được</t>
  </si>
  <si>
    <t xml:space="preserve">BR-TEMP-01</t>
  </si>
  <si>
    <t xml:space="preserve">Rule nhiệt</t>
  </si>
  <si>
    <t xml:space="preserve">Version ngưỡng 3 dải (15–25/0–5/≤−18) theo ngày hiệu lực</t>
  </si>
  <si>
    <t xml:space="preserve">BR-TEMP-02</t>
  </si>
  <si>
    <t xml:space="preserve">So dải nhiệt SKU/vị trí/đo thực khi nhập-xuất; lệch → chặn + deviation (không ngoại lệ)</t>
  </si>
  <si>
    <t xml:space="preserve">Rule hạn</t>
  </si>
  <si>
    <r>
      <rPr>
        <sz val="10"/>
        <rFont val="Arial"/>
        <family val="0"/>
        <charset val="1"/>
      </rPr>
      <t xml:space="preserve">Mỗi SKU khai </t>
    </r>
    <r>
      <rPr>
        <sz val="10"/>
        <rFont val="Noto Sans CJK SC"/>
        <family val="2"/>
      </rPr>
      <t xml:space="preserve">賞味 </t>
    </r>
    <r>
      <rPr>
        <sz val="10"/>
        <rFont val="Arial"/>
        <family val="0"/>
        <charset val="1"/>
      </rPr>
      <t xml:space="preserve">hoặc </t>
    </r>
    <r>
      <rPr>
        <sz val="10"/>
        <rFont val="Noto Sans CJK SC"/>
        <family val="2"/>
      </rPr>
      <t xml:space="preserve">消費</t>
    </r>
    <r>
      <rPr>
        <sz val="10"/>
        <rFont val="Arial"/>
        <family val="0"/>
        <charset val="1"/>
      </rPr>
      <t xml:space="preserve">, áp đường quyết định khác nhau; manufacturer date bất biến</t>
    </r>
  </si>
  <si>
    <r>
      <rPr>
        <sz val="10"/>
        <rFont val="Noto Sans CJK SC"/>
        <family val="2"/>
      </rPr>
      <t xml:space="preserve">消費期限 </t>
    </r>
    <r>
      <rPr>
        <sz val="10"/>
        <rFont val="Arial"/>
        <family val="0"/>
        <charset val="1"/>
      </rPr>
      <t xml:space="preserve">đạt/quá → chặn allocation &amp; giao (hard stop) + exception bất biến</t>
    </r>
  </si>
  <si>
    <r>
      <rPr>
        <sz val="10"/>
        <rFont val="Arial"/>
        <family val="0"/>
        <charset val="1"/>
      </rPr>
      <t xml:space="preserve">Chọn HSD sớm nhất; cùng HSD theo giờ nhập (FIFO); lô </t>
    </r>
    <r>
      <rPr>
        <sz val="10"/>
        <rFont val="Noto Sans CJK SC"/>
        <family val="2"/>
      </rPr>
      <t xml:space="preserve">隔離 </t>
    </r>
    <r>
      <rPr>
        <sz val="10"/>
        <rFont val="Arial"/>
        <family val="0"/>
        <charset val="1"/>
      </rPr>
      <t xml:space="preserve">không đủ điều kiện</t>
    </r>
  </si>
  <si>
    <t xml:space="preserve">BR-DATE-01</t>
  </si>
  <si>
    <t xml:space="preserve">So HSD với lần giao gần nhất của cặp khách-SKU; không so hôm nay; không mượn khách khác</t>
  </si>
  <si>
    <t xml:space="preserve">Delivery window theo hợp đồng khách-SKU; không coi là yêu cầu luật; dòng chưa chốt giữ business-review</t>
  </si>
  <si>
    <t xml:space="preserve">BR-POD-01</t>
  </si>
  <si>
    <t xml:space="preserve">Rule POD</t>
  </si>
  <si>
    <r>
      <rPr>
        <sz val="10"/>
        <rFont val="Arial"/>
        <family val="0"/>
        <charset val="1"/>
      </rPr>
      <t xml:space="preserve">Rẽ nhánh POD theo </t>
    </r>
    <r>
      <rPr>
        <sz val="10"/>
        <rFont val="Noto Sans CJK SC"/>
        <family val="2"/>
      </rPr>
      <t xml:space="preserve">車上渡し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軒先渡し </t>
    </r>
    <r>
      <rPr>
        <sz val="10"/>
        <rFont val="Arial"/>
        <family val="0"/>
        <charset val="1"/>
      </rPr>
      <t xml:space="preserve">(checkpoint/evidence khác); thiếu evidence bắt buộc → không hoàn tất</t>
    </r>
  </si>
  <si>
    <t xml:space="preserve">Rule HACCP</t>
  </si>
  <si>
    <t xml:space="preserve">Completeness theo nhịp Yuki (logger 15′/movement/sanitation ca/visitor-driver/review alarm); thiếu → queue không tự đóng</t>
  </si>
  <si>
    <t xml:space="preserve">BR-TRACE-01</t>
  </si>
  <si>
    <t xml:space="preserve">Rule truy xuất</t>
  </si>
  <si>
    <r>
      <rPr>
        <sz val="10"/>
        <rFont val="Arial"/>
        <family val="0"/>
        <charset val="1"/>
      </rPr>
      <t xml:space="preserve">Lane gạo giữ transaction ID/SL/ngày/partner/</t>
    </r>
    <r>
      <rPr>
        <sz val="10"/>
        <rFont val="Noto Sans CJK SC"/>
        <family val="2"/>
      </rPr>
      <t xml:space="preserve">産地</t>
    </r>
    <r>
      <rPr>
        <sz val="10"/>
        <rFont val="Arial"/>
        <family val="0"/>
        <charset val="1"/>
      </rPr>
      <t xml:space="preserve">; thiếu field → chặn</t>
    </r>
  </si>
  <si>
    <t xml:space="preserve">BR-TRACE-02</t>
  </si>
  <si>
    <t xml:space="preserve">Lane bò giữ mã cá thể 10 số xuyên suốt; không đúng 10 số → chặn; tìm trả về mọi giao dịch</t>
  </si>
  <si>
    <t xml:space="preserve">BR-TRACE-03</t>
  </si>
  <si>
    <t xml:space="preserve">Lane nội bộ giữ lô nội bộ + link NCC/khách dạng dữ liệu cấu trúc (không free-text)</t>
  </si>
  <si>
    <t xml:space="preserve">NFR-PERF-01</t>
  </si>
  <si>
    <t xml:space="preserve">NFR Hiệu năng</t>
  </si>
  <si>
    <t xml:space="preserve">p95 read ≤2s / write ≤3s @ 80 concurrent; load test đúng 80 user</t>
  </si>
  <si>
    <t xml:space="preserve">Cần hạ tầng + load test</t>
  </si>
  <si>
    <t xml:space="preserve">NFR-PERF-02</t>
  </si>
  <si>
    <t xml:space="preserve">Trace 3 năm ≤60s; dataset 300.000 shipment lines + 2,5M temp readings</t>
  </si>
  <si>
    <t xml:space="preserve">NFR-BCP-01</t>
  </si>
  <si>
    <t xml:space="preserve">NFR Liên tục</t>
  </si>
  <si>
    <t xml:space="preserve">RTO 4h, RPO 15′; restore drill hàng quý</t>
  </si>
  <si>
    <t xml:space="preserve">NFR-AVL-01</t>
  </si>
  <si>
    <t xml:space="preserve">99.5%/tháng trong 05:00–23:00 JST (trừ bảo trì đã duyệt)</t>
  </si>
  <si>
    <t xml:space="preserve">NFR-AVL-02</t>
  </si>
  <si>
    <t xml:space="preserve">Queue POD offline mã hóa ≤ 8h; kho không offline</t>
  </si>
  <si>
    <t xml:space="preserve">NFR-OPS-01</t>
  </si>
  <si>
    <t xml:space="preserve">NFR Vận hành</t>
  </si>
  <si>
    <t xml:space="preserve">Metrics/log/trace/alert + correlationID + runbook</t>
  </si>
  <si>
    <t xml:space="preserve">NFR-SEC-01</t>
  </si>
  <si>
    <t xml:space="preserve">NFR Bảo mật</t>
  </si>
  <si>
    <t xml:space="preserve">SSO + MFA quyền cao + managed device auth cho tài xế</t>
  </si>
  <si>
    <t xml:space="preserve">Phụ thuộc IdP khách (Assumption)</t>
  </si>
  <si>
    <t xml:space="preserve">RBAC tối thiểu quyền + tách maker-checker</t>
  </si>
  <si>
    <t xml:space="preserve">NFR-SEC-03</t>
  </si>
  <si>
    <t xml:space="preserve">Mã hóa transit/DB/đính kèm/offline queue; secret không nằm trong source</t>
  </si>
  <si>
    <t xml:space="preserve">NFR-AUD-01</t>
  </si>
  <si>
    <t xml:space="preserve">NFR Audit</t>
  </si>
  <si>
    <t xml:space="preserve">Event append-only cho state/master/approval/export/auth</t>
  </si>
  <si>
    <t xml:space="preserve">NFR-LOC-01</t>
  </si>
  <si>
    <t xml:space="preserve">NFR Bản địa</t>
  </si>
  <si>
    <t xml:space="preserve">UI/lỗi/báo cáo JP+JST; timestamp nội bộ ISO 8601</t>
  </si>
  <si>
    <t xml:space="preserve">NFR-ACC-01</t>
  </si>
  <si>
    <t xml:space="preserve">NFR Tiếp cận</t>
  </si>
  <si>
    <t xml:space="preserve">WCAG 2.2 AA (keyboard/focus/label/error/contrast)</t>
  </si>
  <si>
    <t xml:space="preserve">Cần kiểm thử accessibility</t>
  </si>
  <si>
    <t xml:space="preserve">Data</t>
  </si>
  <si>
    <t xml:space="preserve">Master (SKU/customer/supplier/location/device) effective-dated, maker-checker</t>
  </si>
  <si>
    <t xml:space="preserve">DR-HIST-01</t>
  </si>
  <si>
    <r>
      <rPr>
        <sz val="10"/>
        <rFont val="Arial"/>
        <family val="0"/>
        <charset val="1"/>
      </rPr>
      <t xml:space="preserve">Accepted delivery line (khách+SKU+HSD+completion) bất biến — nền </t>
    </r>
    <r>
      <rPr>
        <sz val="10"/>
        <rFont val="Noto Sans CJK SC"/>
        <family val="2"/>
      </rPr>
      <t xml:space="preserve">日付逆転</t>
    </r>
  </si>
  <si>
    <t xml:space="preserve">DR-LOT-01</t>
  </si>
  <si>
    <t xml:space="preserve">Lot (supplier lot/expiry/date type/regulated ID)</t>
  </si>
  <si>
    <t xml:space="preserve">DR-TEMP-01</t>
  </si>
  <si>
    <t xml:space="preserve">Temperature reading/event (device/time/file hash/affected lot)</t>
  </si>
  <si>
    <t xml:space="preserve">DR-ROUTE-01</t>
  </si>
  <si>
    <t xml:space="preserve">Route version (stop/travel/service/break/driver/rule version)</t>
  </si>
  <si>
    <t xml:space="preserve">DR-POD-01</t>
  </si>
  <si>
    <t xml:space="preserve">POD metadata/object (delivery/term/hash/custody)</t>
  </si>
  <si>
    <t xml:space="preserve">DR-TRACE-01</t>
  </si>
  <si>
    <r>
      <rPr>
        <sz val="10"/>
        <rFont val="Noto Sans CJK SC"/>
        <family val="2"/>
      </rPr>
      <t xml:space="preserve">産地 </t>
    </r>
    <r>
      <rPr>
        <sz val="10"/>
        <rFont val="Arial"/>
        <family val="0"/>
        <charset val="1"/>
      </rPr>
      <t xml:space="preserve">gạo / mã bò — typed &amp; searchable</t>
    </r>
  </si>
  <si>
    <t xml:space="preserve">DR-MIG-01</t>
  </si>
  <si>
    <t xml:space="preserve">Migration lineage (file/row/transform/result/reject reason)</t>
  </si>
  <si>
    <t xml:space="preserve">DR-RET-01</t>
  </si>
  <si>
    <t xml:space="preserve">Retention: 3 năm (nhiệt/nhập/xuất/deviation/route/trace); 1 năm (sanitation/visitor)</t>
  </si>
  <si>
    <t xml:space="preserve">DR-PRIV-01</t>
  </si>
  <si>
    <t xml:space="preserve">Hồ sơ tài xế/người nhận tối thiểu (chỉ identifiers vận hành)</t>
  </si>
  <si>
    <t xml:space="preserve">Interface</t>
  </si>
  <si>
    <t xml:space="preserve">ERP qua managed SFTP (UTF-8 CSV), schema version + idempotency key; checksum/khóa trùng → reject</t>
  </si>
  <si>
    <t xml:space="preserve">Assumption</t>
  </si>
  <si>
    <t xml:space="preserve">Yuki cung cấp đặc tả ERP</t>
  </si>
  <si>
    <t xml:space="preserve">IF-LOG-01</t>
  </si>
  <si>
    <t xml:space="preserve">Upload CSV datalogger theo ca/ngày, giữ nguồn + SHA-256; không live</t>
  </si>
  <si>
    <t xml:space="preserve">Mapping service có license (distance/travel time), cache+timeout; estimate &gt;24h → không publish</t>
  </si>
  <si>
    <t xml:space="preserve">License do Yuki/đối tác cấp</t>
  </si>
  <si>
    <t xml:space="preserve">IF-IDP-01</t>
  </si>
  <si>
    <t xml:space="preserve">OIDC với IdP doanh nghiệp</t>
  </si>
  <si>
    <t xml:space="preserve">Yuki cung cấp IdP/OIDC</t>
  </si>
  <si>
    <t xml:space="preserve">IF-MAIL-01</t>
  </si>
  <si>
    <t xml:space="preserve">Email relay cho alarm/approval/report; không SMS; retry theo queue</t>
  </si>
  <si>
    <t xml:space="preserve">IF-ARCH-01</t>
  </si>
  <si>
    <t xml:space="preserve">Archive export PDF/CSV + index + manifest SHA-256; manifest sai → reject</t>
  </si>
  <si>
    <t xml:space="preserve">ACC-FUN-01</t>
  </si>
  <si>
    <t xml:space="preserve">Nghiệm thu</t>
  </si>
  <si>
    <t xml:space="preserve">Warehouse E2E (nhập→lô→allocation→pick→dispatch→POD) không bỏ bước</t>
  </si>
  <si>
    <t xml:space="preserve">ACC-TEMP-01</t>
  </si>
  <si>
    <t xml:space="preserve">Nhiệt: biên/vượt/thiếu reading/review trễ đúng trạng thái</t>
  </si>
  <si>
    <t xml:space="preserve">ACC-DATE-01</t>
  </si>
  <si>
    <t xml:space="preserve">Loại hạn/delivery window/FEFO/lịch sử đúng cảnh báo-chặn</t>
  </si>
  <si>
    <t xml:space="preserve">ACC-SCH-01</t>
  </si>
  <si>
    <t xml:space="preserve">Lịch thường/bất khả thi/nghỉ/sự cố đúng bản quy tắc</t>
  </si>
  <si>
    <t xml:space="preserve">ACC-TRC-01</t>
  </si>
  <si>
    <t xml:space="preserve">Gạo/bò/nội bộ + đối soát số lượng</t>
  </si>
  <si>
    <t xml:space="preserve">ACC-MIG-01</t>
  </si>
  <si>
    <t xml:space="preserve">2 rehearsal, lineage, rejected rows, business sign-off</t>
  </si>
  <si>
    <t xml:space="preserve">ACC-NFR-01</t>
  </si>
  <si>
    <t xml:space="preserve">Performance/security/recovery/accessibility/observability</t>
  </si>
  <si>
    <t xml:space="preserve">6 owner ký, rủi ro tồn &amp; sẵn sàng rollback</t>
  </si>
  <si>
    <t xml:space="preserve">OPS-TRN-01</t>
  </si>
  <si>
    <t xml:space="preserve">Governance</t>
  </si>
  <si>
    <t xml:space="preserve">Training theo role (JP), không session chung; sandbox mask data</t>
  </si>
  <si>
    <t xml:space="preserve">OPS-GOV-01</t>
  </si>
  <si>
    <t xml:space="preserve">Minutes/RAID/decision log/change impact/test trace; scope không owner+acceptance không vào sprint</t>
  </si>
  <si>
    <t xml:space="preserve">OPS-CHG-01</t>
  </si>
  <si>
    <t xml:space="preserve">Quản lý thay đổi (yêu cầu/dữ liệu/approver/ngày hiệu lực)</t>
  </si>
  <si>
    <t xml:space="preserve">OPS-TEST-01</t>
  </si>
  <si>
    <t xml:space="preserve">Test link tới requirement/data/env/result/defect; start theo evidence</t>
  </si>
  <si>
    <t xml:space="preserve">OPS-ENV-01</t>
  </si>
  <si>
    <t xml:space="preserve">Tách dev/test/UAT/prod + mask; release có checksum/diff/approve/backup/rollback</t>
  </si>
  <si>
    <t xml:space="preserve">OPS-SUP-01</t>
  </si>
  <si>
    <t xml:space="preserve">4 tuần hypercare, severity matrix, escalation, SLA report</t>
  </si>
  <si>
    <t xml:space="preserve">OPS-LAW-01</t>
  </si>
  <si>
    <t xml:space="preserve">Re-verify nguồn luật trước design freeze &amp; go-live</t>
  </si>
  <si>
    <t xml:space="preserve">NUM-SKU-01</t>
  </si>
  <si>
    <t xml:space="preserve">Ràng buộc</t>
  </si>
  <si>
    <t xml:space="preserve">12 SKU</t>
  </si>
  <si>
    <t xml:space="preserve">NUM-BAND-01</t>
  </si>
  <si>
    <t xml:space="preserve">3 dải nhiệt, 4 SKU/dải</t>
  </si>
  <si>
    <t xml:space="preserve">TỔNG</t>
  </si>
  <si>
    <t xml:space="preserve">89 mã</t>
  </si>
  <si>
    <t xml:space="preserve">Comply: 86 | Assumption: 3 | Partial: 0</t>
  </si>
  <si>
    <t xml:space="preserve">Deliverable 7 — Estimate effort + WBS (MD = man-day)</t>
  </si>
  <si>
    <t xml:space="preserve">Build suy từ sheet 04 (S/M/C). Ô vàng = giả định chỉnh được. Gồm workstream NFR &amp; migration theo RFP.</t>
  </si>
  <si>
    <t xml:space="preserve">A. Đơn giá màn hình (MD) + đếm từ sheet 04</t>
  </si>
  <si>
    <t xml:space="preserve">Mô tả</t>
  </si>
  <si>
    <t xml:space="preserve">Đơn giá</t>
  </si>
  <si>
    <t xml:space="preserve">Số MH</t>
  </si>
  <si>
    <t xml:space="preserve">Thành (MD)</t>
  </si>
  <si>
    <t xml:space="preserve">Đơn giản</t>
  </si>
  <si>
    <t xml:space="preserve">Trung bình</t>
  </si>
  <si>
    <t xml:space="preserve">Phức tạp</t>
  </si>
  <si>
    <t xml:space="preserve">Cộng build màn hình</t>
  </si>
  <si>
    <t xml:space="preserve">B. Engine / xử lý lõi</t>
  </si>
  <si>
    <t xml:space="preserve">Hạng mục</t>
  </si>
  <si>
    <t xml:space="preserve">MD</t>
  </si>
  <si>
    <t xml:space="preserve">ENG-01</t>
  </si>
  <si>
    <t xml:space="preserve">Allocation engine (chuỗi loại trừ 6 bước, nguyên tử, idempotent)</t>
  </si>
  <si>
    <t xml:space="preserve">ENG-02</t>
  </si>
  <si>
    <r>
      <rPr>
        <sz val="10"/>
        <rFont val="Arial"/>
        <family val="0"/>
        <charset val="1"/>
      </rPr>
      <t xml:space="preserve">FEFO + </t>
    </r>
    <r>
      <rPr>
        <sz val="10"/>
        <rFont val="Noto Sans CJK SC"/>
        <family val="2"/>
      </rPr>
      <t xml:space="preserve">日付逆転 </t>
    </r>
    <r>
      <rPr>
        <sz val="10"/>
        <rFont val="Arial"/>
        <family val="0"/>
        <charset val="1"/>
      </rPr>
      <t xml:space="preserve">(lịch sử bất biến theo khách-SKU)</t>
    </r>
  </si>
  <si>
    <t xml:space="preserve">ENG-03</t>
  </si>
  <si>
    <t xml:space="preserve">Hạn dùng (2 loại) + delivery window 1/3-1/2 theo hợp đồng</t>
  </si>
  <si>
    <t xml:space="preserve">ENG-04</t>
  </si>
  <si>
    <t xml:space="preserve">Engine kiểm giờ lái 2024 (số Yuki) + version rule</t>
  </si>
  <si>
    <t xml:space="preserve">ENG-05</t>
  </si>
  <si>
    <t xml:space="preserve">Import &amp; đánh giá CSV nhiệt + alarm/deviation + completeness HACCP</t>
  </si>
  <si>
    <t xml:space="preserve">ENG-06</t>
  </si>
  <si>
    <t xml:space="preserve">Truy xuất 3 lane + recall đối soát số lượng</t>
  </si>
  <si>
    <t xml:space="preserve">ENG-07</t>
  </si>
  <si>
    <r>
      <rPr>
        <sz val="10"/>
        <rFont val="Arial"/>
        <family val="0"/>
        <charset val="1"/>
      </rPr>
      <t xml:space="preserve">State machine </t>
    </r>
    <r>
      <rPr>
        <sz val="10"/>
        <rFont val="Noto Sans CJK SC"/>
        <family val="2"/>
      </rPr>
      <t xml:space="preserve">隔離 </t>
    </r>
    <r>
      <rPr>
        <sz val="10"/>
        <rFont val="Arial"/>
        <family val="0"/>
        <charset val="1"/>
      </rPr>
      <t xml:space="preserve">+ bất biến/reversal + maker-checker nền</t>
    </r>
  </si>
  <si>
    <t xml:space="preserve">ENG-08</t>
  </si>
  <si>
    <r>
      <rPr>
        <sz val="10"/>
        <rFont val="Arial"/>
        <family val="0"/>
        <charset val="1"/>
      </rPr>
      <t xml:space="preserve">POD điều kiện (</t>
    </r>
    <r>
      <rPr>
        <sz val="10"/>
        <rFont val="Noto Sans CJK SC"/>
        <family val="2"/>
      </rPr>
      <t xml:space="preserve">車上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軒先</t>
    </r>
    <r>
      <rPr>
        <sz val="10"/>
        <rFont val="Arial"/>
        <family val="0"/>
        <charset val="1"/>
      </rPr>
      <t xml:space="preserve">) + ảnh hash + offline queue</t>
    </r>
  </si>
  <si>
    <t xml:space="preserve">ENG-09</t>
  </si>
  <si>
    <t xml:space="preserve">Interface: ERP SFTP, logger CSV, mapping, OIDC, mail, archive manifest</t>
  </si>
  <si>
    <t xml:space="preserve">ENG-10</t>
  </si>
  <si>
    <t xml:space="preserve">Audit append-only + 12 báo cáo + audit export manifest</t>
  </si>
  <si>
    <t xml:space="preserve">Cộng engine</t>
  </si>
  <si>
    <t xml:space="preserve">C. Các pha khác (design/NFR/migration/test/infra/training)</t>
  </si>
  <si>
    <t xml:space="preserve">Pha / hoạt động</t>
  </si>
  <si>
    <t xml:space="preserve">P-RD</t>
  </si>
  <si>
    <t xml:space="preserve">Phân tích yêu cầu / BA (bám 88 FR/BR/NFR + compliance matrix)</t>
  </si>
  <si>
    <t xml:space="preserve">P-BD</t>
  </si>
  <si>
    <t xml:space="preserve">Thiết kế cơ bản (data model bất biến, state model, kiến trúc, 8 tuần)</t>
  </si>
  <si>
    <t xml:space="preserve">P-NFR</t>
  </si>
  <si>
    <t xml:space="preserve">NFR workstream: SSO/MFA/mã hóa, performance@80 + trace≤60s, BCP RTO4h/RPO15′, observability, WCAG 2.2 AA</t>
  </si>
  <si>
    <t xml:space="preserve">P-MIG</t>
  </si>
  <si>
    <t xml:space="preserve">Migration: lineage + 2 rehearsal + đối soát dirty data (2.5M nhiệt, 300k shipment)</t>
  </si>
  <si>
    <t xml:space="preserve">P-IT</t>
  </si>
  <si>
    <t xml:space="preserve">Integration test</t>
  </si>
  <si>
    <t xml:space="preserve">P-ST</t>
  </si>
  <si>
    <t xml:space="preserve">System test (gồm fixtures R-06 edge cases)</t>
  </si>
  <si>
    <t xml:space="preserve">P-UAT</t>
  </si>
  <si>
    <t xml:space="preserve">Hỗ trợ UAT (6 tuần) + 8 cổng nghiệm thu ACC-*</t>
  </si>
  <si>
    <t xml:space="preserve">P-INFRA</t>
  </si>
  <si>
    <t xml:space="preserve">Hạ tầng/DevOps/CI-CD + 4 môi trường (dev/test/UAT/prod)</t>
  </si>
  <si>
    <t xml:space="preserve">P-TRN</t>
  </si>
  <si>
    <t xml:space="preserve">Training theo role (JP) + 4 tuần hypercare</t>
  </si>
  <si>
    <t xml:space="preserve">Cộng pha khác</t>
  </si>
  <si>
    <t xml:space="preserve">D. Tổng hợp effort</t>
  </si>
  <si>
    <t xml:space="preserve">Build (màn hình + engine)</t>
  </si>
  <si>
    <t xml:space="preserve">Pha khác</t>
  </si>
  <si>
    <t xml:space="preserve">Cộng lõi (core)</t>
  </si>
  <si>
    <t xml:space="preserve">PM/PMO (15% core)</t>
  </si>
  <si>
    <t xml:space="preserve">Cộng (core + PM)</t>
  </si>
  <si>
    <t xml:space="preserve">Dự phòng (10%)</t>
  </si>
  <si>
    <t xml:space="preserve">TỔNG EFFORT (base scope)</t>
  </si>
  <si>
    <t xml:space="preserve">≈ người-tháng (÷20)</t>
  </si>
  <si>
    <t xml:space="preserve">E. Tiền đề / giả định</t>
  </si>
  <si>
    <t xml:space="preserve">• Phạm vi = toàn bộ base scope S3-05 (12 SKU, 1 DC, 80 user). Option (S3-05 ngoài base) báo giá riêng, không gộp.</t>
  </si>
  <si>
    <t xml:space="preserve">• Màn hình S/M/C = 2.5 / 4.5 / 9.0 MD (gồm detailed design + code + unit test).</t>
  </si>
  <si>
    <t xml:space="preserve">• Kiến trúc event bất biến + maker-checker + append-only audit là yêu cầu bắt buộc (đã tính trong ENG &amp; NFR).</t>
  </si>
  <si>
    <t xml:space="preserve">• Hiệu năng test đúng 80 concurrent + dataset 300.000 shipment lines + 2,5M temp readings (NFR-PERF-02).</t>
  </si>
  <si>
    <t xml:space="preserve">• Mapping service, IdP/OIDC, đặc tả ERP do Yuki/đối tác cung cấp (Assumption) — xem câu hỏi Q.</t>
  </si>
  <si>
    <t xml:space="preserve">• Migration gồm 2 rehearsal + final load + đối soát; dirty data xử lý ACCEPT/REJECT/DUPLICATE/BUSINESS-REVIEW.</t>
  </si>
  <si>
    <t xml:space="preserve">• Timeline khung RFP: BD 8 tuần, build+test 18 tuần, UAT 6 tuần, go-live 2027-06-01.</t>
  </si>
  <si>
    <t xml:space="preserve">• Chưa gồm license bên thứ ba (mapping/IdP), hạ tầng cloud (tính ở cost định kỳ), thuế.</t>
  </si>
  <si>
    <t xml:space="preserve">Deliverable — Cost sheet theo template S5-02</t>
  </si>
  <si>
    <t xml:space="preserve">Tách one-time / định kỳ / option. Mỗi dòng nêu giả định (user=80, dataset NFR-PERF-02). Đơn giá ¥/MD là giả định.</t>
  </si>
  <si>
    <t xml:space="preserve">Tổng effort (MD) từ sheet 07</t>
  </si>
  <si>
    <t xml:space="preserve">Đơn giá bình quân ¥/MD (từ phân bổ role)</t>
  </si>
  <si>
    <t xml:space="preserve">① CHI PHÍ MỘT LẦN (one-time)</t>
  </si>
  <si>
    <t xml:space="preserve">Đơn giá ¥/MD</t>
  </si>
  <si>
    <t xml:space="preserve">Chi phí ¥</t>
  </si>
  <si>
    <t xml:space="preserve">Thiết kế / build / test</t>
  </si>
  <si>
    <t xml:space="preserve">Một lần</t>
  </si>
  <si>
    <t xml:space="preserve">Migration (2 rehearsal + final)</t>
  </si>
  <si>
    <t xml:space="preserve">Training + 4 tuần hypercare</t>
  </si>
  <si>
    <t xml:space="preserve">Công tác phí onsite (nếu có)</t>
  </si>
  <si>
    <t xml:space="preserve">Một lần/định kỳ</t>
  </si>
  <si>
    <t xml:space="preserve">—</t>
  </si>
  <si>
    <t xml:space="preserve">cần xác nhận Q-09</t>
  </si>
  <si>
    <t xml:space="preserve">Cộng one-time (¥)</t>
  </si>
  <si>
    <t xml:space="preserve">Cộng one-time quy đổi (VND, 170₫/¥)</t>
  </si>
  <si>
    <t xml:space="preserve">② CHI PHÍ ĐỊNH KỲ (recurring) — nêu giả định tải; đơn giá cần xác nhận</t>
  </si>
  <si>
    <t xml:space="preserve">Đơn vị</t>
  </si>
  <si>
    <t xml:space="preserve">Giả định</t>
  </si>
  <si>
    <t xml:space="preserve">Software license</t>
  </si>
  <si>
    <t xml:space="preserve">Định kỳ</t>
  </si>
  <si>
    <t xml:space="preserve">¥/user·tháng hoặc /site</t>
  </si>
  <si>
    <t xml:space="preserve">Nêu rõ mô hình; phụ thuộc kiến trúc &amp; bên thứ ba</t>
  </si>
  <si>
    <t xml:space="preserve">Cloud / hosting</t>
  </si>
  <si>
    <t xml:space="preserve">¥/tháng</t>
  </si>
  <si>
    <t xml:space="preserve">Theo tải 80 concurrent + dataset NFR-PERF-02</t>
  </si>
  <si>
    <t xml:space="preserve">Support sau hypercare (SLA)</t>
  </si>
  <si>
    <t xml:space="preserve">Kèm severity matrix &amp; SLA</t>
  </si>
  <si>
    <t xml:space="preserve">③ OPTION (S3-05 ngoài base) — KHÔNG cộng vào tổng cơ sở</t>
  </si>
  <si>
    <t xml:space="preserve">Online datalogger / IoT platform</t>
  </si>
  <si>
    <t xml:space="preserve">Option</t>
  </si>
  <si>
    <t xml:space="preserve">S3-05 ngoài base</t>
  </si>
  <si>
    <t xml:space="preserve">Dự báo nhu cầu / tối ưu bổ sung / auto-waste</t>
  </si>
  <si>
    <t xml:space="preserve">Cổng truy xuất toàn quốc cho mọi SKU</t>
  </si>
  <si>
    <t xml:space="preserve">Hiện chỉ 3 lane gạo/bò/nội bộ</t>
  </si>
  <si>
    <t xml:space="preserve">GPS liên tục / SMS</t>
  </si>
  <si>
    <t xml:space="preserve">Giả định chi phí</t>
  </si>
  <si>
    <t xml:space="preserve">• Đơn giá ¥/MD là GIẢ ĐỊNH tham khảo (offshore VN) — sales &amp; khách xác nhận (S5-02 cấm số làm tròn vô căn cứ).</t>
  </si>
  <si>
    <t xml:space="preserve">• Mỗi dòng nêu giả định: user=80 (NFR-PERF-01), dataset=300k shipment + 2,5M temp (NFR-PERF-02).</t>
  </si>
  <si>
    <t xml:space="preserve">• Option KHÔNG cộng vào tổng cơ sở (S3-05/S5-02).</t>
  </si>
  <si>
    <t xml:space="preserve">• Thuế tách khỏi đơn giá chưa thuế; tiền tệ &amp; điều khoản thanh toán nêu trong proposal, chốt khi thương thảo (S5-04).</t>
  </si>
  <si>
    <t xml:space="preserve">• Tỉ giá tham khảo quy đổi: 1 JPY ≈ 170 VND (cập nhật khi báo giá).</t>
  </si>
  <si>
    <t xml:space="preserve">Deliverable 7 — Rủi ro sơ bộ</t>
  </si>
  <si>
    <r>
      <rPr>
        <i val="true"/>
        <sz val="9"/>
        <rFont val="Arial"/>
        <family val="0"/>
        <charset val="1"/>
      </rPr>
      <t xml:space="preserve">R-01..R-04 = 4 'lỗi nghiêm trọng' (</t>
    </r>
    <r>
      <rPr>
        <i val="true"/>
        <sz val="9"/>
        <rFont val="Noto Sans CJK SC"/>
        <family val="2"/>
      </rPr>
      <t xml:space="preserve">重大エラー</t>
    </r>
    <r>
      <rPr>
        <i val="true"/>
        <sz val="9"/>
        <rFont val="Arial"/>
        <family val="0"/>
        <charset val="1"/>
      </rPr>
      <t xml:space="preserve">) RFP S5-03 cảnh báo trừ điểm.</t>
    </r>
  </si>
  <si>
    <t xml:space="preserve">Rủi ro</t>
  </si>
  <si>
    <t xml:space="preserve">K.năng</t>
  </si>
  <si>
    <t xml:space="preserve">T.động</t>
  </si>
  <si>
    <t xml:space="preserve">Mức</t>
  </si>
  <si>
    <t xml:space="preserve">Giảm thiểu</t>
  </si>
  <si>
    <t xml:space="preserve">Ảnh hưởng</t>
  </si>
  <si>
    <t xml:space="preserve">R-01</t>
  </si>
  <si>
    <r>
      <rPr>
        <sz val="10"/>
        <rFont val="Arial"/>
        <family val="0"/>
        <charset val="1"/>
      </rPr>
      <t xml:space="preserve">Nhầm </t>
    </r>
    <r>
      <rPr>
        <sz val="10"/>
        <rFont val="Noto Sans CJK SC"/>
        <family val="2"/>
      </rPr>
      <t xml:space="preserve">賞味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消費 </t>
    </r>
    <r>
      <rPr>
        <sz val="10"/>
        <rFont val="Arial"/>
        <family val="0"/>
        <charset val="1"/>
      </rPr>
      <t xml:space="preserve">khi thiết kế cảnh báo</t>
    </r>
  </si>
  <si>
    <r>
      <rPr>
        <sz val="10"/>
        <rFont val="Arial"/>
        <family val="0"/>
        <charset val="1"/>
      </rPr>
      <t xml:space="preserve">Đọc-hiểu (</t>
    </r>
    <r>
      <rPr>
        <sz val="10"/>
        <rFont val="Noto Sans CJK SC"/>
        <family val="2"/>
      </rPr>
      <t xml:space="preserve">重大エラー</t>
    </r>
    <r>
      <rPr>
        <sz val="10"/>
        <rFont val="Arial"/>
        <family val="0"/>
        <charset val="1"/>
      </rPr>
      <t xml:space="preserve">)</t>
    </r>
  </si>
  <si>
    <t xml:space="preserve">TB</t>
  </si>
  <si>
    <t xml:space="preserve">Cao</t>
  </si>
  <si>
    <r>
      <rPr>
        <sz val="10"/>
        <rFont val="Arial"/>
        <family val="0"/>
        <charset val="1"/>
      </rPr>
      <t xml:space="preserve">Cấu hình loại hạn theo SKU; </t>
    </r>
    <r>
      <rPr>
        <sz val="10"/>
        <rFont val="Noto Sans CJK SC"/>
        <family val="2"/>
      </rPr>
      <t xml:space="preserve">消費 </t>
    </r>
    <r>
      <rPr>
        <sz val="10"/>
        <rFont val="Arial"/>
        <family val="0"/>
        <charset val="1"/>
      </rPr>
      <t xml:space="preserve">hard stop, </t>
    </r>
    <r>
      <rPr>
        <sz val="10"/>
        <rFont val="Noto Sans CJK SC"/>
        <family val="2"/>
      </rPr>
      <t xml:space="preserve">賞味 </t>
    </r>
    <r>
      <rPr>
        <sz val="10"/>
        <rFont val="Arial"/>
        <family val="0"/>
        <charset val="1"/>
      </rPr>
      <t xml:space="preserve">cảnh báo; test 2 luồng (R-06).</t>
    </r>
  </si>
  <si>
    <t xml:space="preserve">Rework logic + mất điểm S5-03</t>
  </si>
  <si>
    <t xml:space="preserve">R-02</t>
  </si>
  <si>
    <r>
      <rPr>
        <sz val="10"/>
        <rFont val="Arial"/>
        <family val="0"/>
        <charset val="1"/>
      </rPr>
      <t xml:space="preserve">So </t>
    </r>
    <r>
      <rPr>
        <sz val="10"/>
        <rFont val="Noto Sans CJK SC"/>
        <family val="2"/>
      </rPr>
      <t xml:space="preserve">日付逆転 </t>
    </r>
    <r>
      <rPr>
        <sz val="10"/>
        <rFont val="Arial"/>
        <family val="0"/>
        <charset val="1"/>
      </rPr>
      <t xml:space="preserve">với hôm nay thay vì lịch sử cặp khách-SKU</t>
    </r>
  </si>
  <si>
    <t xml:space="preserve">Dựa lịch sử bất biến DR-HIST-01; test CUS-003/CHI-002; chốt sớm.</t>
  </si>
  <si>
    <t xml:space="preserve">Sai lõi, mất điểm nặng</t>
  </si>
  <si>
    <t xml:space="preserve">R-03</t>
  </si>
  <si>
    <t xml:space="preserve">Gọi quy tắc 1/3 là luật / chặn cứng</t>
  </si>
  <si>
    <r>
      <rPr>
        <sz val="10"/>
        <rFont val="Arial"/>
        <family val="0"/>
        <charset val="1"/>
      </rPr>
      <t xml:space="preserve">1/3-1/2 là </t>
    </r>
    <r>
      <rPr>
        <sz val="10"/>
        <rFont val="Noto Sans CJK SC"/>
        <family val="2"/>
      </rPr>
      <t xml:space="preserve">商慣習 </t>
    </r>
    <r>
      <rPr>
        <sz val="10"/>
        <rFont val="Arial"/>
        <family val="0"/>
        <charset val="1"/>
      </rPr>
      <t xml:space="preserve">(R-08 SRC-EXT-08); chỉ cảnh báo; tách khỏi </t>
    </r>
    <r>
      <rPr>
        <sz val="10"/>
        <rFont val="Noto Sans CJK SC"/>
        <family val="2"/>
      </rPr>
      <t xml:space="preserve">消費 </t>
    </r>
    <r>
      <rPr>
        <sz val="10"/>
        <rFont val="Arial"/>
        <family val="0"/>
        <charset val="1"/>
      </rPr>
      <t xml:space="preserve">hard stop.</t>
    </r>
  </si>
  <si>
    <t xml:space="preserve">Mất điểm nặng</t>
  </si>
  <si>
    <t xml:space="preserve">R-04</t>
  </si>
  <si>
    <t xml:space="preserve">Bỏ/nới ràng buộc cứng giờ lái</t>
  </si>
  <si>
    <t xml:space="preserve">Hard constraint trong ENG-04 theo số Yuki; cấm publish khi vi phạm.</t>
  </si>
  <si>
    <t xml:space="preserve">Mất điểm nặng + vi phạm luật</t>
  </si>
  <si>
    <t xml:space="preserve">R-05</t>
  </si>
  <si>
    <t xml:space="preserve">Phủ thiếu 88 yêu cầu trong compliance matrix</t>
  </si>
  <si>
    <t xml:space="preserve">Phạm vi/đánh giá</t>
  </si>
  <si>
    <t xml:space="preserve">Ma trận Comply/Partial/Assumption đầy đủ; mỗi Partial/Assumption nêu scope/effort/cost.</t>
  </si>
  <si>
    <t xml:space="preserve">FR/BR chiếm 25% điểm</t>
  </si>
  <si>
    <t xml:space="preserve">R-06</t>
  </si>
  <si>
    <t xml:space="preserve">Không đạt NFR (80 user, trace≤60s, WCAG, BCP)</t>
  </si>
  <si>
    <t xml:space="preserve">Phi chức năng</t>
  </si>
  <si>
    <t xml:space="preserve">NFR workstream riêng + load test 80 + dataset 300k/2,5M + restore drill + audit WCAG.</t>
  </si>
  <si>
    <t xml:space="preserve">NFR 15% điểm; rủi ro nghiệm thu ACC-NFR-01</t>
  </si>
  <si>
    <t xml:space="preserve">R-07</t>
  </si>
  <si>
    <t xml:space="preserve">Migration dirty data (HSD trống, đổi mã khách, hoàn âm, 2,5M nhiệt)</t>
  </si>
  <si>
    <t xml:space="preserve">Dữ liệu</t>
  </si>
  <si>
    <t xml:space="preserve">Lineage + 2 rehearsal + đối soát + business sign-off; không suy diễn ngày.</t>
  </si>
  <si>
    <r>
      <rPr>
        <sz val="10"/>
        <rFont val="Arial"/>
        <family val="0"/>
        <charset val="1"/>
      </rPr>
      <t xml:space="preserve">Rủi ro cutover &amp; </t>
    </r>
    <r>
      <rPr>
        <sz val="10"/>
        <rFont val="Noto Sans CJK SC"/>
        <family val="2"/>
      </rPr>
      <t xml:space="preserve">日付逆転</t>
    </r>
  </si>
  <si>
    <t xml:space="preserve">R-08</t>
  </si>
  <si>
    <t xml:space="preserve">Phụ thuộc bên ngoài: IdP/OIDC, mapping license, đặc tả ERP</t>
  </si>
  <si>
    <t xml:space="preserve">Phụ thuộc</t>
  </si>
  <si>
    <t xml:space="preserve">Chốt sớm (Assumption trong matrix + câu hỏi); thiết kế adapter.</t>
  </si>
  <si>
    <t xml:space="preserve">Trễ tiến độ nếu chậm cấp</t>
  </si>
  <si>
    <t xml:space="preserve">R-09</t>
  </si>
  <si>
    <t xml:space="preserve">Kiến trúc event bất biến + maker-checker phức tạp hơn CRUD</t>
  </si>
  <si>
    <t xml:space="preserve">Kỹ thuật</t>
  </si>
  <si>
    <t xml:space="preserve">Chuẩn hóa nền event/version sớm (ENG-07); spike kỹ thuật giai đoạn BD.</t>
  </si>
  <si>
    <t xml:space="preserve">Tăng effort nếu làm muộn</t>
  </si>
  <si>
    <t xml:space="preserve">R-10</t>
  </si>
  <si>
    <t xml:space="preserve">Critical path tới go-live 2027-06-01</t>
  </si>
  <si>
    <t xml:space="preserve">Tiến độ</t>
  </si>
  <si>
    <t xml:space="preserve">Bám khung RFP (BD 8t/build-test 18t/UAT 6t); 2 rehearsal; kế hoạch rollback.</t>
  </si>
  <si>
    <t xml:space="preserve">Trễ go-live</t>
  </si>
  <si>
    <t xml:space="preserve">R-11</t>
  </si>
  <si>
    <t xml:space="preserve">Dòng hợp đồng chưa chốt (AGR-008/014) bị suy diễn</t>
  </si>
  <si>
    <t xml:space="preserve">Đọc-hiểu</t>
  </si>
  <si>
    <t xml:space="preserve">Thấp</t>
  </si>
  <si>
    <t xml:space="preserve">Giữ business-review; không mặc định ONE_THIRD/ONE_HALF.</t>
  </si>
  <si>
    <t xml:space="preserve">Sai nghiệp vụ nhỏ</t>
  </si>
  <si>
    <t xml:space="preserve">R-12</t>
  </si>
  <si>
    <t xml:space="preserve">Bò 9 số tự làm tròn thành 10</t>
  </si>
  <si>
    <t xml:space="preserve">9 số → business-review (R-06); không auto-round.</t>
  </si>
  <si>
    <t xml:space="preserve">Sai truy xuất pháp định</t>
  </si>
  <si>
    <t xml:space="preserve">Dữ liệu nền RFP — 12 SKU + sự thật nền</t>
  </si>
  <si>
    <t xml:space="preserve">Trích R-02/R-01/S1. Dùng làm tiền đề &amp; dữ liệu demo (fixtures).</t>
  </si>
  <si>
    <t xml:space="preserve">SKU</t>
  </si>
  <si>
    <t xml:space="preserve">Tên (JP)</t>
  </si>
  <si>
    <t xml:space="preserve">Dải</t>
  </si>
  <si>
    <t xml:space="preserve">Loại hạn</t>
  </si>
  <si>
    <t xml:space="preserve">Lane</t>
  </si>
  <si>
    <t xml:space="preserve">AMB-001</t>
  </si>
  <si>
    <r>
      <rPr>
        <sz val="10"/>
        <rFont val="Noto Sans CJK SC"/>
        <family val="2"/>
      </rPr>
      <t xml:space="preserve">新潟県産包装精米</t>
    </r>
    <r>
      <rPr>
        <sz val="10"/>
        <rFont val="Arial"/>
        <family val="0"/>
        <charset val="1"/>
      </rPr>
      <t xml:space="preserve">5kg</t>
    </r>
  </si>
  <si>
    <t xml:space="preserve">常温</t>
  </si>
  <si>
    <t xml:space="preserve">賞味期限</t>
  </si>
  <si>
    <t xml:space="preserve">rice</t>
  </si>
  <si>
    <r>
      <rPr>
        <sz val="10"/>
        <rFont val="Arial"/>
        <family val="0"/>
        <charset val="1"/>
      </rPr>
      <t xml:space="preserve">Gạo — </t>
    </r>
    <r>
      <rPr>
        <sz val="10"/>
        <rFont val="Noto Sans CJK SC"/>
        <family val="2"/>
      </rPr>
      <t xml:space="preserve">産地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取引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米トレーサビリティ法</t>
    </r>
    <r>
      <rPr>
        <sz val="10"/>
        <rFont val="Arial"/>
        <family val="0"/>
        <charset val="1"/>
      </rPr>
      <t xml:space="preserve">)</t>
    </r>
  </si>
  <si>
    <t xml:space="preserve">AMB-002</t>
  </si>
  <si>
    <r>
      <rPr>
        <sz val="10"/>
        <rFont val="Noto Sans CJK SC"/>
        <family val="2"/>
      </rPr>
      <t xml:space="preserve">玄米せんべい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枚</t>
    </r>
  </si>
  <si>
    <t xml:space="preserve">internal_lot</t>
  </si>
  <si>
    <t xml:space="preserve">AMB-003</t>
  </si>
  <si>
    <r>
      <rPr>
        <sz val="10"/>
        <rFont val="Noto Sans CJK SC"/>
        <family val="2"/>
      </rPr>
      <t xml:space="preserve">レトルト野菜カレー</t>
    </r>
    <r>
      <rPr>
        <sz val="10"/>
        <rFont val="Arial"/>
        <family val="0"/>
        <charset val="1"/>
      </rPr>
      <t xml:space="preserve">200g</t>
    </r>
  </si>
  <si>
    <t xml:space="preserve">AMB-004</t>
  </si>
  <si>
    <r>
      <rPr>
        <sz val="10"/>
        <rFont val="Noto Sans CJK SC"/>
        <family val="2"/>
      </rPr>
      <t xml:space="preserve">ほうじ茶ティーバッグ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包</t>
    </r>
  </si>
  <si>
    <t xml:space="preserve">CHI-001</t>
  </si>
  <si>
    <r>
      <rPr>
        <sz val="10"/>
        <rFont val="Noto Sans CJK SC"/>
        <family val="2"/>
      </rPr>
      <t xml:space="preserve">国産牛スライス</t>
    </r>
    <r>
      <rPr>
        <sz val="10"/>
        <rFont val="Arial"/>
        <family val="0"/>
        <charset val="1"/>
      </rPr>
      <t xml:space="preserve">200g</t>
    </r>
  </si>
  <si>
    <t xml:space="preserve">冷蔵</t>
  </si>
  <si>
    <t xml:space="preserve">消費期限</t>
  </si>
  <si>
    <t xml:space="preserve">beef</t>
  </si>
  <si>
    <r>
      <rPr>
        <sz val="10"/>
        <rFont val="Arial"/>
        <family val="0"/>
        <charset val="1"/>
      </rPr>
      <t xml:space="preserve">Bò — mã cá thể 10 số (</t>
    </r>
    <r>
      <rPr>
        <sz val="10"/>
        <rFont val="Noto Sans CJK SC"/>
        <family val="2"/>
      </rPr>
      <t xml:space="preserve">牛トレーサビリティ法</t>
    </r>
    <r>
      <rPr>
        <sz val="10"/>
        <rFont val="Arial"/>
        <family val="0"/>
        <charset val="1"/>
      </rPr>
      <t xml:space="preserve">)</t>
    </r>
  </si>
  <si>
    <t xml:space="preserve">CHI-002</t>
  </si>
  <si>
    <r>
      <rPr>
        <sz val="10"/>
        <rFont val="Noto Sans CJK SC"/>
        <family val="2"/>
      </rPr>
      <t xml:space="preserve">プレーンヨーグルト</t>
    </r>
    <r>
      <rPr>
        <sz val="10"/>
        <rFont val="Arial"/>
        <family val="0"/>
        <charset val="1"/>
      </rPr>
      <t xml:space="preserve">400g</t>
    </r>
  </si>
  <si>
    <r>
      <rPr>
        <sz val="10"/>
        <rFont val="Arial"/>
        <family val="0"/>
        <charset val="1"/>
      </rPr>
      <t xml:space="preserve">Dùng trong test </t>
    </r>
    <r>
      <rPr>
        <sz val="10"/>
        <rFont val="Noto Sans CJK SC"/>
        <family val="2"/>
      </rPr>
      <t xml:space="preserve">日付逆転 </t>
    </r>
    <r>
      <rPr>
        <sz val="10"/>
        <rFont val="Arial"/>
        <family val="0"/>
        <charset val="1"/>
      </rPr>
      <t xml:space="preserve">(CUS-003)</t>
    </r>
  </si>
  <si>
    <t xml:space="preserve">CHI-003</t>
  </si>
  <si>
    <r>
      <rPr>
        <sz val="10"/>
        <rFont val="Noto Sans CJK SC"/>
        <family val="2"/>
      </rPr>
      <t xml:space="preserve">絹ごし豆腐</t>
    </r>
    <r>
      <rPr>
        <sz val="10"/>
        <rFont val="Arial"/>
        <family val="0"/>
        <charset val="1"/>
      </rPr>
      <t xml:space="preserve">300g</t>
    </r>
  </si>
  <si>
    <t xml:space="preserve">CHI-004</t>
  </si>
  <si>
    <r>
      <rPr>
        <sz val="10"/>
        <rFont val="Noto Sans CJK SC"/>
        <family val="2"/>
      </rPr>
      <t xml:space="preserve">カットサラダ</t>
    </r>
    <r>
      <rPr>
        <sz val="10"/>
        <rFont val="Arial"/>
        <family val="0"/>
        <charset val="1"/>
      </rPr>
      <t xml:space="preserve">150g</t>
    </r>
  </si>
  <si>
    <t xml:space="preserve">FRO-001</t>
  </si>
  <si>
    <r>
      <rPr>
        <sz val="10"/>
        <rFont val="Noto Sans CJK SC"/>
        <family val="2"/>
      </rPr>
      <t xml:space="preserve">冷凍えび餃子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個</t>
    </r>
  </si>
  <si>
    <t xml:space="preserve">冷凍</t>
  </si>
  <si>
    <t xml:space="preserve">FRO-002</t>
  </si>
  <si>
    <r>
      <rPr>
        <sz val="10"/>
        <rFont val="Noto Sans CJK SC"/>
        <family val="2"/>
      </rPr>
      <t xml:space="preserve">バニラアイス</t>
    </r>
    <r>
      <rPr>
        <sz val="10"/>
        <rFont val="Arial"/>
        <family val="0"/>
        <charset val="1"/>
      </rPr>
      <t xml:space="preserve">120ml</t>
    </r>
  </si>
  <si>
    <t xml:space="preserve">FRO-003</t>
  </si>
  <si>
    <r>
      <rPr>
        <sz val="10"/>
        <rFont val="Noto Sans CJK SC"/>
        <family val="2"/>
      </rPr>
      <t xml:space="preserve">冷凍うどん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食</t>
    </r>
  </si>
  <si>
    <t xml:space="preserve">FRO-004</t>
  </si>
  <si>
    <r>
      <rPr>
        <sz val="10"/>
        <rFont val="Noto Sans CJK SC"/>
        <family val="2"/>
      </rPr>
      <t xml:space="preserve">冷凍枝豆</t>
    </r>
    <r>
      <rPr>
        <sz val="10"/>
        <rFont val="Arial"/>
        <family val="0"/>
        <charset val="1"/>
      </rPr>
      <t xml:space="preserve">400g</t>
    </r>
  </si>
  <si>
    <t xml:space="preserve">Sự thật nền</t>
  </si>
  <si>
    <t xml:space="preserve">(đã sửa theo RFP)</t>
  </si>
  <si>
    <t xml:space="preserve">Quy mô</t>
  </si>
  <si>
    <r>
      <rPr>
        <sz val="9"/>
        <rFont val="Arial"/>
        <family val="0"/>
        <charset val="1"/>
      </rPr>
      <t xml:space="preserve">1 trung tâm (DC) duy nhất; 42 nhân sự: 18 kho, 9 tài xế, 4 </t>
    </r>
    <r>
      <rPr>
        <sz val="9"/>
        <rFont val="Noto Sans CJK SC"/>
        <family val="2"/>
      </rPr>
      <t xml:space="preserve">配送計画</t>
    </r>
    <r>
      <rPr>
        <sz val="9"/>
        <rFont val="Arial"/>
        <family val="0"/>
        <charset val="1"/>
      </rPr>
      <t xml:space="preserve">, 3 QA, 3 sales/CS, 2 IT, 3 admin</t>
    </r>
  </si>
  <si>
    <t xml:space="preserve">Cửa</t>
  </si>
  <si>
    <r>
      <rPr>
        <sz val="9"/>
        <rFont val="Arial"/>
        <family val="0"/>
        <charset val="1"/>
      </rPr>
      <t xml:space="preserve">2 cửa nhập, 3 cửa xuất; 1 khu </t>
    </r>
    <r>
      <rPr>
        <sz val="9"/>
        <rFont val="Noto Sans CJK SC"/>
        <family val="2"/>
      </rPr>
      <t xml:space="preserve">隔離 </t>
    </r>
    <r>
      <rPr>
        <sz val="9"/>
        <rFont val="Arial"/>
        <family val="0"/>
        <charset val="1"/>
      </rPr>
      <t xml:space="preserve">vật lý (chia theo dải nhiệt: C-Q, F-Q; </t>
    </r>
    <r>
      <rPr>
        <sz val="9"/>
        <rFont val="Noto Sans CJK SC"/>
        <family val="2"/>
      </rPr>
      <t xml:space="preserve">常温 </t>
    </r>
    <r>
      <rPr>
        <sz val="9"/>
        <rFont val="Arial"/>
        <family val="0"/>
        <charset val="1"/>
      </rPr>
      <t xml:space="preserve">không có -Q)</t>
    </r>
  </si>
  <si>
    <t xml:space="preserve">3 dải nhiệt (Yuki tự công bố)</t>
  </si>
  <si>
    <r>
      <rPr>
        <sz val="9"/>
        <rFont val="Noto Sans CJK SC"/>
        <family val="2"/>
      </rPr>
      <t xml:space="preserve">常温 </t>
    </r>
    <r>
      <rPr>
        <sz val="9"/>
        <rFont val="Arial"/>
        <family val="0"/>
        <charset val="1"/>
      </rPr>
      <t xml:space="preserve">15–25°C · </t>
    </r>
    <r>
      <rPr>
        <sz val="9"/>
        <rFont val="Noto Sans CJK SC"/>
        <family val="2"/>
      </rPr>
      <t xml:space="preserve">冷蔵 </t>
    </r>
    <r>
      <rPr>
        <sz val="9"/>
        <rFont val="Arial"/>
        <family val="0"/>
        <charset val="1"/>
      </rPr>
      <t xml:space="preserve">0–5°C · </t>
    </r>
    <r>
      <rPr>
        <sz val="9"/>
        <rFont val="Noto Sans CJK SC"/>
        <family val="2"/>
      </rPr>
      <t xml:space="preserve">冷凍 ≤ −</t>
    </r>
    <r>
      <rPr>
        <sz val="9"/>
        <rFont val="Arial"/>
        <family val="0"/>
        <charset val="1"/>
      </rPr>
      <t xml:space="preserve">18°C (version theo ngày hiệu lực, BR-TEMP-01)</t>
    </r>
  </si>
  <si>
    <t xml:space="preserve">Logger</t>
  </si>
  <si>
    <t xml:space="preserve">Ghi mỗi 15 phút theo zone (DL-A01/C01/F01); xuất CSV (không kết nối live — online là option)</t>
  </si>
  <si>
    <t xml:space="preserve">Số SKU</t>
  </si>
  <si>
    <t xml:space="preserve">12 SKU (4/dải) — R-02; chỉ gạo (AMB-001) &amp; bò (CHI-001) có truy xuất pháp định</t>
  </si>
  <si>
    <t xml:space="preserve">Khối lượng (3 tháng mẫu)</t>
  </si>
  <si>
    <t xml:space="preserve">Nhập ~1.800 dòng/tháng · Xuất ~7.200 dòng/tháng</t>
  </si>
  <si>
    <t xml:space="preserve">Hợp đồng khách-SKU</t>
  </si>
  <si>
    <t xml:space="preserve">15 agreement (R-04); delivery window: ONE_THIRD / ONE_HALF / LABEL_DATE_ONLY; 2 dòng (AGR-008/014) CHƯA chốt — không mặc định</t>
  </si>
  <si>
    <t xml:space="preserve">Concurrent users</t>
  </si>
  <si>
    <t xml:space="preserve">80 (NFR-PERF-01) — KHÔNG quy về 42; test tải đúng 80</t>
  </si>
  <si>
    <t xml:space="preserve">Service time</t>
  </si>
  <si>
    <t xml:space="preserve">05:00–23:00 JST, 2 ca; AVL 99.5%/tháng (NFR-AVL-01)</t>
  </si>
  <si>
    <t xml:space="preserve">Dataset test hiệu năng</t>
  </si>
  <si>
    <t xml:space="preserve">300.000 shipment lines + 2,5 triệu temperature readings (NFR-PERF-02, R-03)</t>
  </si>
  <si>
    <t xml:space="preserve">Timeline</t>
  </si>
  <si>
    <t xml:space="preserve">Start 2026-10-05 · Basic design 8 tuần · Build+Test 18 tuần · 2 migration rehearsal · UAT 6 tuần · Go-live 2027-06-01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</si>
</sst>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#,##0.0"/>
    <numFmt numFmtId="167" formatCode="0%"/>
    <numFmt numFmtId="168" formatCode="\¥#,##0"/>
    <numFmt numFmtId="169" formatCode="#,##0&quot; ₫&quot;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0"/>
      <color rgb="FF842029"/>
      <name val="Arial"/>
      <family val="0"/>
      <charset val="1"/>
    </font>
    <font>
      <sz val="10"/>
      <color rgb="FF0F513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664D03"/>
      <name val="Arial"/>
      <family val="0"/>
      <charset val="1"/>
    </font>
    <font>
      <b val="true"/>
      <sz val="9"/>
      <color rgb="FF664D03"/>
      <name val="Arial"/>
      <family val="0"/>
      <charset val="1"/>
    </font>
    <font>
      <b val="true"/>
      <sz val="10"/>
      <color rgb="FF0F5132"/>
      <name val="Arial"/>
      <family val="0"/>
      <charset val="1"/>
    </font>
    <font>
      <b val="true"/>
      <sz val="9"/>
      <color rgb="FF842029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name val="Noto Sans CJK SC"/>
      <family val="2"/>
    </font>
  </fonts>
  <fills count="12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EAF1FB"/>
        <bgColor rgb="FFF2F4F7"/>
      </patternFill>
    </fill>
    <fill>
      <patternFill patternType="solid">
        <fgColor rgb="FF1C7293"/>
        <bgColor rgb="FF008080"/>
      </patternFill>
    </fill>
    <fill>
      <patternFill patternType="solid">
        <fgColor rgb="FFFFF3CD"/>
        <bgColor rgb="FFFFF2CC"/>
      </patternFill>
    </fill>
    <fill>
      <patternFill patternType="solid">
        <fgColor rgb="FFF2F4F7"/>
        <bgColor rgb="FFEAF1FB"/>
      </patternFill>
    </fill>
    <fill>
      <patternFill patternType="solid">
        <fgColor rgb="FFF8D7DA"/>
        <bgColor rgb="FFFFF2CC"/>
      </patternFill>
    </fill>
    <fill>
      <patternFill patternType="solid">
        <fgColor rgb="FFD1E7DD"/>
        <bgColor rgb="FFCFE2F3"/>
      </patternFill>
    </fill>
    <fill>
      <patternFill patternType="solid">
        <fgColor rgb="FFCFE2F3"/>
        <bgColor rgb="FFD1E7DD"/>
      </patternFill>
    </fill>
    <fill>
      <patternFill patternType="solid">
        <fgColor rgb="FFFFF2CC"/>
        <bgColor rgb="FFFFF3CD"/>
      </patternFill>
    </fill>
    <fill>
      <patternFill patternType="solid">
        <fgColor rgb="FFFFF8E1"/>
        <bgColor rgb="FFFFF3C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C2D0"/>
      </left>
      <right style="thin">
        <color rgb="FFB8C2D0"/>
      </right>
      <top style="thin">
        <color rgb="FFB8C2D0"/>
      </top>
      <bottom style="thin">
        <color rgb="FFB8C2D0"/>
      </bottom>
      <diagonal/>
    </border>
    <border diagonalUp="false" diagonalDown="false">
      <left style="thin">
        <color rgb="FFB8C2D0"/>
      </left>
      <right/>
      <top style="thin">
        <color rgb="FFB8C2D0"/>
      </top>
      <bottom style="thin">
        <color rgb="FFB8C2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8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2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3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8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3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3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7293"/>
      <rgbColor rgb="FFB8C2D0"/>
      <rgbColor rgb="FF808080"/>
      <rgbColor rgb="FF9999FF"/>
      <rgbColor rgb="FF993366"/>
      <rgbColor rgb="FFFFF8E1"/>
      <rgbColor rgb="FFEAF1FB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D1E7DD"/>
      <rgbColor rgb="FFFFF3CD"/>
      <rgbColor rgb="FFFFF2CC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761"/>
      <rgbColor rgb="FF339966"/>
      <rgbColor rgb="FF0F5132"/>
      <rgbColor rgb="FF664D03"/>
      <rgbColor rgb="FF84202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74"/>
  </cols>
  <sheetData>
    <row r="1" customFormat="false" ht="25.5" hidden="false" customHeight="true" outlineLevel="0" collapsed="false">
      <c r="A1" s="1" t="s">
        <v>0</v>
      </c>
      <c r="B1" s="1"/>
      <c r="C1" s="1"/>
    </row>
    <row r="2" customFormat="false" ht="15.75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s">
        <v>6</v>
      </c>
      <c r="C5" s="4" t="s">
        <v>7</v>
      </c>
    </row>
    <row r="6" customFormat="false" ht="15" hidden="false" customHeight="false" outlineLevel="0" collapsed="false">
      <c r="A6" s="4" t="s">
        <v>8</v>
      </c>
      <c r="B6" s="4" t="s">
        <v>9</v>
      </c>
      <c r="C6" s="4" t="s">
        <v>10</v>
      </c>
    </row>
    <row r="7" customFormat="false" ht="15" hidden="false" customHeight="false" outlineLevel="0" collapsed="false">
      <c r="A7" s="4" t="s">
        <v>11</v>
      </c>
      <c r="B7" s="4" t="s">
        <v>12</v>
      </c>
      <c r="C7" s="4" t="s">
        <v>13</v>
      </c>
    </row>
    <row r="8" customFormat="false" ht="15" hidden="false" customHeight="false" outlineLevel="0" collapsed="false">
      <c r="A8" s="4" t="s">
        <v>14</v>
      </c>
      <c r="B8" s="4" t="s">
        <v>15</v>
      </c>
      <c r="C8" s="4" t="s">
        <v>16</v>
      </c>
    </row>
    <row r="9" customFormat="false" ht="15" hidden="false" customHeight="false" outlineLevel="0" collapsed="false">
      <c r="A9" s="4" t="s">
        <v>17</v>
      </c>
      <c r="B9" s="4" t="s">
        <v>18</v>
      </c>
      <c r="C9" s="4" t="s">
        <v>19</v>
      </c>
    </row>
    <row r="10" customFormat="false" ht="15" hidden="false" customHeight="false" outlineLevel="0" collapsed="false">
      <c r="A10" s="4" t="s">
        <v>20</v>
      </c>
      <c r="B10" s="4" t="s">
        <v>21</v>
      </c>
      <c r="C10" s="4" t="s">
        <v>22</v>
      </c>
    </row>
    <row r="11" customFormat="false" ht="15" hidden="false" customHeight="false" outlineLevel="0" collapsed="false">
      <c r="A11" s="4" t="s">
        <v>23</v>
      </c>
      <c r="B11" s="4" t="s">
        <v>24</v>
      </c>
      <c r="C11" s="4" t="s">
        <v>25</v>
      </c>
    </row>
    <row r="12" customFormat="false" ht="15" hidden="false" customHeight="false" outlineLevel="0" collapsed="false">
      <c r="A12" s="4" t="s">
        <v>26</v>
      </c>
      <c r="B12" s="4" t="s">
        <v>27</v>
      </c>
      <c r="C12" s="4" t="s">
        <v>28</v>
      </c>
    </row>
    <row r="13" customFormat="false" ht="15" hidden="false" customHeight="false" outlineLevel="0" collapsed="false">
      <c r="A13" s="4" t="s">
        <v>29</v>
      </c>
      <c r="B13" s="4" t="s">
        <v>30</v>
      </c>
      <c r="C13" s="4" t="s">
        <v>31</v>
      </c>
    </row>
    <row r="14" customFormat="false" ht="15" hidden="false" customHeight="false" outlineLevel="0" collapsed="false">
      <c r="A14" s="4" t="s">
        <v>32</v>
      </c>
      <c r="B14" s="4" t="s">
        <v>33</v>
      </c>
      <c r="C14" s="4" t="s">
        <v>34</v>
      </c>
    </row>
    <row r="16" customFormat="false" ht="15" hidden="false" customHeight="false" outlineLevel="0" collapsed="false">
      <c r="A16" s="5"/>
      <c r="B16" s="5" t="s">
        <v>35</v>
      </c>
      <c r="C16" s="5"/>
    </row>
    <row r="17" customFormat="false" ht="26.85" hidden="false" customHeight="false" outlineLevel="0" collapsed="false">
      <c r="A17" s="6" t="s">
        <v>36</v>
      </c>
      <c r="B17" s="6" t="s">
        <v>37</v>
      </c>
      <c r="C17" s="6" t="s">
        <v>38</v>
      </c>
    </row>
    <row r="18" customFormat="false" ht="52.2" hidden="false" customHeight="false" outlineLevel="0" collapsed="false">
      <c r="A18" s="6" t="s">
        <v>36</v>
      </c>
      <c r="B18" s="6" t="s">
        <v>39</v>
      </c>
      <c r="C18" s="6" t="s">
        <v>40</v>
      </c>
    </row>
    <row r="19" customFormat="false" ht="26.85" hidden="false" customHeight="false" outlineLevel="0" collapsed="false">
      <c r="A19" s="6" t="s">
        <v>36</v>
      </c>
      <c r="B19" s="6" t="s">
        <v>41</v>
      </c>
      <c r="C19" s="7" t="s">
        <v>42</v>
      </c>
    </row>
    <row r="20" customFormat="false" ht="23.85" hidden="false" customHeight="false" outlineLevel="0" collapsed="false">
      <c r="A20" s="6" t="s">
        <v>36</v>
      </c>
      <c r="B20" s="7" t="s">
        <v>43</v>
      </c>
      <c r="C20" s="6" t="s">
        <v>44</v>
      </c>
    </row>
    <row r="21" customFormat="false" ht="26.85" hidden="false" customHeight="false" outlineLevel="0" collapsed="false">
      <c r="A21" s="6" t="s">
        <v>36</v>
      </c>
      <c r="B21" s="6" t="s">
        <v>45</v>
      </c>
      <c r="C21" s="7" t="s">
        <v>46</v>
      </c>
    </row>
    <row r="22" customFormat="false" ht="38.05" hidden="false" customHeight="false" outlineLevel="0" collapsed="false">
      <c r="A22" s="6" t="s">
        <v>36</v>
      </c>
      <c r="B22" s="6" t="s">
        <v>47</v>
      </c>
      <c r="C22" s="6" t="s">
        <v>48</v>
      </c>
    </row>
    <row r="23" customFormat="false" ht="26.85" hidden="false" customHeight="false" outlineLevel="0" collapsed="false">
      <c r="A23" s="6" t="s">
        <v>36</v>
      </c>
      <c r="B23" s="6" t="s">
        <v>49</v>
      </c>
      <c r="C23" s="6" t="s">
        <v>50</v>
      </c>
    </row>
    <row r="24" customFormat="false" ht="26.85" hidden="false" customHeight="false" outlineLevel="0" collapsed="false">
      <c r="A24" s="6" t="s">
        <v>36</v>
      </c>
      <c r="B24" s="6" t="s">
        <v>51</v>
      </c>
      <c r="C24" s="6" t="s">
        <v>52</v>
      </c>
    </row>
    <row r="25" customFormat="false" ht="26.85" hidden="false" customHeight="false" outlineLevel="0" collapsed="false">
      <c r="A25" s="6" t="s">
        <v>36</v>
      </c>
      <c r="B25" s="6" t="s">
        <v>53</v>
      </c>
      <c r="C25" s="7" t="s">
        <v>54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42"/>
    <col collapsed="false" customWidth="true" hidden="false" outlineLevel="0" max="4" min="4" style="0" width="15"/>
    <col collapsed="false" customWidth="true" hidden="false" outlineLevel="0" max="6" min="5" style="0" width="38"/>
  </cols>
  <sheetData>
    <row r="1" customFormat="false" ht="25.5" hidden="false" customHeight="true" outlineLevel="0" collapsed="false">
      <c r="A1" s="1" t="s">
        <v>55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56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57</v>
      </c>
      <c r="B4" s="3" t="s">
        <v>58</v>
      </c>
      <c r="C4" s="3" t="s">
        <v>59</v>
      </c>
      <c r="D4" s="3" t="s">
        <v>60</v>
      </c>
      <c r="E4" s="3" t="s">
        <v>61</v>
      </c>
      <c r="F4" s="3" t="s">
        <v>62</v>
      </c>
    </row>
    <row r="5" customFormat="false" ht="23.85" hidden="false" customHeight="false" outlineLevel="0" collapsed="false">
      <c r="A5" s="4" t="s">
        <v>63</v>
      </c>
      <c r="B5" s="4" t="s">
        <v>64</v>
      </c>
      <c r="C5" s="4" t="s">
        <v>65</v>
      </c>
      <c r="D5" s="8" t="s">
        <v>66</v>
      </c>
      <c r="E5" s="4" t="s">
        <v>67</v>
      </c>
      <c r="F5" s="4" t="s">
        <v>68</v>
      </c>
    </row>
    <row r="6" customFormat="false" ht="23.85" hidden="false" customHeight="false" outlineLevel="0" collapsed="false">
      <c r="A6" s="4" t="s">
        <v>69</v>
      </c>
      <c r="B6" s="4" t="s">
        <v>70</v>
      </c>
      <c r="C6" s="4" t="s">
        <v>71</v>
      </c>
      <c r="D6" s="8" t="s">
        <v>66</v>
      </c>
      <c r="E6" s="4" t="s">
        <v>72</v>
      </c>
      <c r="F6" s="4" t="s">
        <v>73</v>
      </c>
    </row>
    <row r="7" customFormat="false" ht="23.85" hidden="false" customHeight="false" outlineLevel="0" collapsed="false">
      <c r="A7" s="4" t="s">
        <v>74</v>
      </c>
      <c r="B7" s="4" t="s">
        <v>75</v>
      </c>
      <c r="C7" s="4" t="s">
        <v>76</v>
      </c>
      <c r="D7" s="8" t="s">
        <v>66</v>
      </c>
      <c r="E7" s="4" t="s">
        <v>77</v>
      </c>
      <c r="F7" s="4" t="s">
        <v>78</v>
      </c>
    </row>
    <row r="8" customFormat="false" ht="23.85" hidden="false" customHeight="false" outlineLevel="0" collapsed="false">
      <c r="A8" s="4" t="s">
        <v>79</v>
      </c>
      <c r="B8" s="4" t="s">
        <v>80</v>
      </c>
      <c r="C8" s="4" t="s">
        <v>81</v>
      </c>
      <c r="D8" s="8" t="s">
        <v>66</v>
      </c>
      <c r="E8" s="4" t="s">
        <v>82</v>
      </c>
      <c r="F8" s="4" t="s">
        <v>83</v>
      </c>
    </row>
    <row r="9" customFormat="false" ht="23.85" hidden="false" customHeight="false" outlineLevel="0" collapsed="false">
      <c r="A9" s="4" t="s">
        <v>84</v>
      </c>
      <c r="B9" s="4" t="s">
        <v>85</v>
      </c>
      <c r="C9" s="4" t="s">
        <v>86</v>
      </c>
      <c r="D9" s="8" t="s">
        <v>66</v>
      </c>
      <c r="E9" s="4" t="s">
        <v>87</v>
      </c>
      <c r="F9" s="4" t="s">
        <v>88</v>
      </c>
    </row>
    <row r="10" customFormat="false" ht="23.85" hidden="false" customHeight="false" outlineLevel="0" collapsed="false">
      <c r="A10" s="4" t="s">
        <v>89</v>
      </c>
      <c r="B10" s="4" t="s">
        <v>90</v>
      </c>
      <c r="C10" s="4" t="s">
        <v>91</v>
      </c>
      <c r="D10" s="8" t="s">
        <v>66</v>
      </c>
      <c r="E10" s="4" t="s">
        <v>92</v>
      </c>
      <c r="F10" s="4" t="s">
        <v>93</v>
      </c>
    </row>
    <row r="11" customFormat="false" ht="23.85" hidden="false" customHeight="false" outlineLevel="0" collapsed="false">
      <c r="A11" s="4" t="s">
        <v>94</v>
      </c>
      <c r="B11" s="4" t="s">
        <v>95</v>
      </c>
      <c r="C11" s="4" t="s">
        <v>96</v>
      </c>
      <c r="D11" s="9" t="s">
        <v>97</v>
      </c>
      <c r="E11" s="4" t="s">
        <v>98</v>
      </c>
      <c r="F11" s="4" t="s">
        <v>99</v>
      </c>
    </row>
    <row r="12" customFormat="false" ht="23.85" hidden="false" customHeight="false" outlineLevel="0" collapsed="false">
      <c r="A12" s="4" t="s">
        <v>100</v>
      </c>
      <c r="B12" s="4" t="s">
        <v>101</v>
      </c>
      <c r="C12" s="4" t="s">
        <v>102</v>
      </c>
      <c r="D12" s="9" t="s">
        <v>97</v>
      </c>
      <c r="E12" s="4" t="s">
        <v>103</v>
      </c>
      <c r="F12" s="4" t="s">
        <v>104</v>
      </c>
    </row>
    <row r="13" customFormat="false" ht="15" hidden="false" customHeight="false" outlineLevel="0" collapsed="false">
      <c r="A13" s="4" t="s">
        <v>105</v>
      </c>
      <c r="B13" s="4" t="s">
        <v>106</v>
      </c>
      <c r="C13" s="4" t="s">
        <v>107</v>
      </c>
      <c r="D13" s="9" t="s">
        <v>97</v>
      </c>
      <c r="E13" s="4" t="s">
        <v>108</v>
      </c>
      <c r="F13" s="4" t="s">
        <v>109</v>
      </c>
    </row>
    <row r="14" customFormat="false" ht="23.85" hidden="false" customHeight="false" outlineLevel="0" collapsed="false">
      <c r="A14" s="4" t="s">
        <v>110</v>
      </c>
      <c r="B14" s="4" t="s">
        <v>111</v>
      </c>
      <c r="C14" s="4" t="s">
        <v>112</v>
      </c>
      <c r="D14" s="9" t="s">
        <v>97</v>
      </c>
      <c r="E14" s="4" t="s">
        <v>113</v>
      </c>
      <c r="F14" s="4" t="s">
        <v>114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86"/>
  </cols>
  <sheetData>
    <row r="1" customFormat="false" ht="25.5" hidden="false" customHeight="true" outlineLevel="0" collapsed="false">
      <c r="A1" s="1" t="s">
        <v>115</v>
      </c>
      <c r="B1" s="1"/>
      <c r="C1" s="1"/>
    </row>
    <row r="2" customFormat="false" ht="15.75" hidden="false" customHeight="true" outlineLevel="0" collapsed="false">
      <c r="A2" s="2" t="s">
        <v>116</v>
      </c>
      <c r="B2" s="2"/>
      <c r="C2" s="2"/>
    </row>
    <row r="4" customFormat="false" ht="27.75" hidden="false" customHeight="true" outlineLevel="0" collapsed="false">
      <c r="A4" s="3" t="s">
        <v>57</v>
      </c>
      <c r="B4" s="3" t="s">
        <v>117</v>
      </c>
      <c r="C4" s="3" t="s">
        <v>118</v>
      </c>
    </row>
    <row r="5" customFormat="false" ht="15" hidden="false" customHeight="false" outlineLevel="0" collapsed="false">
      <c r="A5" s="10" t="s">
        <v>119</v>
      </c>
      <c r="B5" s="4" t="s">
        <v>120</v>
      </c>
      <c r="C5" s="4" t="s">
        <v>121</v>
      </c>
    </row>
    <row r="6" customFormat="false" ht="15" hidden="false" customHeight="false" outlineLevel="0" collapsed="false">
      <c r="A6" s="10" t="s">
        <v>122</v>
      </c>
      <c r="B6" s="4" t="s">
        <v>123</v>
      </c>
      <c r="C6" s="4" t="s">
        <v>124</v>
      </c>
    </row>
    <row r="7" customFormat="false" ht="15" hidden="false" customHeight="false" outlineLevel="0" collapsed="false">
      <c r="A7" s="10" t="s">
        <v>125</v>
      </c>
      <c r="B7" s="4" t="s">
        <v>126</v>
      </c>
      <c r="C7" s="4" t="s">
        <v>127</v>
      </c>
    </row>
    <row r="8" customFormat="false" ht="15" hidden="false" customHeight="false" outlineLevel="0" collapsed="false">
      <c r="A8" s="10" t="s">
        <v>128</v>
      </c>
      <c r="B8" s="4" t="s">
        <v>129</v>
      </c>
      <c r="C8" s="4" t="s">
        <v>130</v>
      </c>
    </row>
    <row r="9" customFormat="false" ht="15" hidden="false" customHeight="false" outlineLevel="0" collapsed="false">
      <c r="A9" s="10" t="s">
        <v>131</v>
      </c>
      <c r="B9" s="4" t="s">
        <v>132</v>
      </c>
      <c r="C9" s="4" t="s">
        <v>133</v>
      </c>
    </row>
    <row r="10" customFormat="false" ht="15" hidden="false" customHeight="false" outlineLevel="0" collapsed="false">
      <c r="A10" s="10" t="s">
        <v>134</v>
      </c>
      <c r="B10" s="4" t="s">
        <v>135</v>
      </c>
      <c r="C10" s="4" t="s">
        <v>136</v>
      </c>
    </row>
    <row r="11" customFormat="false" ht="15" hidden="false" customHeight="false" outlineLevel="0" collapsed="false">
      <c r="A11" s="10" t="s">
        <v>137</v>
      </c>
      <c r="B11" s="4" t="s">
        <v>138</v>
      </c>
      <c r="C11" s="4" t="s">
        <v>139</v>
      </c>
    </row>
    <row r="12" customFormat="false" ht="15" hidden="false" customHeight="false" outlineLevel="0" collapsed="false">
      <c r="A12" s="10" t="s">
        <v>140</v>
      </c>
      <c r="B12" s="4" t="s">
        <v>141</v>
      </c>
      <c r="C12" s="4" t="s">
        <v>142</v>
      </c>
    </row>
    <row r="13" customFormat="false" ht="15" hidden="false" customHeight="false" outlineLevel="0" collapsed="false">
      <c r="A13" s="10" t="s">
        <v>143</v>
      </c>
      <c r="B13" s="4" t="s">
        <v>144</v>
      </c>
      <c r="C13" s="4" t="s">
        <v>145</v>
      </c>
    </row>
    <row r="14" customFormat="false" ht="15" hidden="false" customHeight="false" outlineLevel="0" collapsed="false">
      <c r="A14" s="10" t="s">
        <v>146</v>
      </c>
      <c r="B14" s="4" t="s">
        <v>147</v>
      </c>
      <c r="C14" s="4" t="s">
        <v>148</v>
      </c>
    </row>
    <row r="15" customFormat="false" ht="15" hidden="false" customHeight="false" outlineLevel="0" collapsed="false">
      <c r="A15" s="10" t="s">
        <v>149</v>
      </c>
      <c r="B15" s="4" t="s">
        <v>150</v>
      </c>
      <c r="C15" s="4" t="s">
        <v>151</v>
      </c>
    </row>
    <row r="16" customFormat="false" ht="15" hidden="false" customHeight="false" outlineLevel="0" collapsed="false">
      <c r="A16" s="10" t="s">
        <v>152</v>
      </c>
      <c r="B16" s="4" t="s">
        <v>153</v>
      </c>
      <c r="C16" s="4" t="s">
        <v>154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5" min="5" style="0" width="8"/>
  </cols>
  <sheetData>
    <row r="1" customFormat="false" ht="25.5" hidden="false" customHeight="true" outlineLevel="0" collapsed="false">
      <c r="A1" s="1" t="s">
        <v>155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156</v>
      </c>
      <c r="B2" s="2"/>
      <c r="C2" s="2"/>
      <c r="D2" s="2"/>
      <c r="E2" s="2"/>
    </row>
    <row r="4" customFormat="false" ht="27.75" hidden="false" customHeight="true" outlineLevel="0" collapsed="false">
      <c r="A4" s="3" t="s">
        <v>57</v>
      </c>
      <c r="B4" s="3" t="s">
        <v>157</v>
      </c>
      <c r="C4" s="3" t="s">
        <v>158</v>
      </c>
      <c r="D4" s="3" t="s">
        <v>159</v>
      </c>
      <c r="E4" s="3" t="s">
        <v>160</v>
      </c>
    </row>
    <row r="5" customFormat="false" ht="15" hidden="false" customHeight="false" outlineLevel="0" collapsed="false">
      <c r="A5" s="10" t="s">
        <v>161</v>
      </c>
      <c r="B5" s="4" t="s">
        <v>119</v>
      </c>
      <c r="C5" s="4" t="s">
        <v>162</v>
      </c>
      <c r="D5" s="4" t="s">
        <v>163</v>
      </c>
      <c r="E5" s="11" t="s">
        <v>164</v>
      </c>
    </row>
    <row r="6" customFormat="false" ht="23.85" hidden="false" customHeight="false" outlineLevel="0" collapsed="false">
      <c r="A6" s="10" t="s">
        <v>165</v>
      </c>
      <c r="B6" s="4" t="s">
        <v>119</v>
      </c>
      <c r="C6" s="4" t="s">
        <v>166</v>
      </c>
      <c r="D6" s="4" t="s">
        <v>167</v>
      </c>
      <c r="E6" s="11" t="s">
        <v>164</v>
      </c>
    </row>
    <row r="7" customFormat="false" ht="23.85" hidden="false" customHeight="false" outlineLevel="0" collapsed="false">
      <c r="A7" s="10" t="s">
        <v>168</v>
      </c>
      <c r="B7" s="4" t="s">
        <v>119</v>
      </c>
      <c r="C7" s="4" t="s">
        <v>169</v>
      </c>
      <c r="D7" s="4" t="s">
        <v>170</v>
      </c>
      <c r="E7" s="11" t="s">
        <v>164</v>
      </c>
    </row>
    <row r="8" customFormat="false" ht="15" hidden="false" customHeight="false" outlineLevel="0" collapsed="false">
      <c r="A8" s="10" t="s">
        <v>171</v>
      </c>
      <c r="B8" s="4" t="s">
        <v>119</v>
      </c>
      <c r="C8" s="4" t="s">
        <v>172</v>
      </c>
      <c r="D8" s="4" t="s">
        <v>173</v>
      </c>
      <c r="E8" s="11" t="s">
        <v>164</v>
      </c>
    </row>
    <row r="9" customFormat="false" ht="15" hidden="false" customHeight="false" outlineLevel="0" collapsed="false">
      <c r="A9" s="10" t="s">
        <v>174</v>
      </c>
      <c r="B9" s="4" t="s">
        <v>122</v>
      </c>
      <c r="C9" s="4" t="s">
        <v>175</v>
      </c>
      <c r="D9" s="4" t="s">
        <v>176</v>
      </c>
      <c r="E9" s="12" t="s">
        <v>177</v>
      </c>
    </row>
    <row r="10" customFormat="false" ht="23.85" hidden="false" customHeight="false" outlineLevel="0" collapsed="false">
      <c r="A10" s="10" t="s">
        <v>178</v>
      </c>
      <c r="B10" s="4" t="s">
        <v>122</v>
      </c>
      <c r="C10" s="4" t="s">
        <v>179</v>
      </c>
      <c r="D10" s="4" t="s">
        <v>180</v>
      </c>
      <c r="E10" s="11" t="s">
        <v>164</v>
      </c>
    </row>
    <row r="11" customFormat="false" ht="15" hidden="false" customHeight="false" outlineLevel="0" collapsed="false">
      <c r="A11" s="10" t="s">
        <v>181</v>
      </c>
      <c r="B11" s="4" t="s">
        <v>122</v>
      </c>
      <c r="C11" s="4" t="s">
        <v>182</v>
      </c>
      <c r="D11" s="4" t="s">
        <v>183</v>
      </c>
      <c r="E11" s="11" t="s">
        <v>164</v>
      </c>
    </row>
    <row r="12" customFormat="false" ht="15" hidden="false" customHeight="false" outlineLevel="0" collapsed="false">
      <c r="A12" s="10" t="s">
        <v>184</v>
      </c>
      <c r="B12" s="4" t="s">
        <v>125</v>
      </c>
      <c r="C12" s="4" t="s">
        <v>185</v>
      </c>
      <c r="D12" s="4" t="s">
        <v>186</v>
      </c>
      <c r="E12" s="12" t="s">
        <v>177</v>
      </c>
    </row>
    <row r="13" customFormat="false" ht="15" hidden="false" customHeight="false" outlineLevel="0" collapsed="false">
      <c r="A13" s="10" t="s">
        <v>187</v>
      </c>
      <c r="B13" s="4" t="s">
        <v>125</v>
      </c>
      <c r="C13" s="4" t="s">
        <v>188</v>
      </c>
      <c r="D13" s="4" t="s">
        <v>189</v>
      </c>
      <c r="E13" s="11" t="s">
        <v>164</v>
      </c>
    </row>
    <row r="14" customFormat="false" ht="26.85" hidden="false" customHeight="false" outlineLevel="0" collapsed="false">
      <c r="A14" s="10" t="s">
        <v>190</v>
      </c>
      <c r="B14" s="4" t="s">
        <v>125</v>
      </c>
      <c r="C14" s="4" t="s">
        <v>191</v>
      </c>
      <c r="D14" s="4" t="s">
        <v>192</v>
      </c>
      <c r="E14" s="11" t="s">
        <v>164</v>
      </c>
    </row>
    <row r="15" customFormat="false" ht="15" hidden="false" customHeight="false" outlineLevel="0" collapsed="false">
      <c r="A15" s="10" t="s">
        <v>193</v>
      </c>
      <c r="B15" s="4" t="s">
        <v>125</v>
      </c>
      <c r="C15" s="4" t="s">
        <v>194</v>
      </c>
      <c r="D15" s="4" t="s">
        <v>195</v>
      </c>
      <c r="E15" s="12" t="s">
        <v>177</v>
      </c>
    </row>
    <row r="16" customFormat="false" ht="15" hidden="false" customHeight="false" outlineLevel="0" collapsed="false">
      <c r="A16" s="10" t="s">
        <v>196</v>
      </c>
      <c r="B16" s="4" t="s">
        <v>125</v>
      </c>
      <c r="C16" s="4" t="s">
        <v>197</v>
      </c>
      <c r="D16" s="4" t="s">
        <v>198</v>
      </c>
      <c r="E16" s="12" t="s">
        <v>177</v>
      </c>
    </row>
    <row r="17" customFormat="false" ht="15" hidden="false" customHeight="false" outlineLevel="0" collapsed="false">
      <c r="A17" s="10" t="s">
        <v>199</v>
      </c>
      <c r="B17" s="4" t="s">
        <v>128</v>
      </c>
      <c r="C17" s="4" t="s">
        <v>200</v>
      </c>
      <c r="D17" s="4" t="s">
        <v>201</v>
      </c>
      <c r="E17" s="11" t="s">
        <v>164</v>
      </c>
    </row>
    <row r="18" customFormat="false" ht="15" hidden="false" customHeight="false" outlineLevel="0" collapsed="false">
      <c r="A18" s="10" t="s">
        <v>202</v>
      </c>
      <c r="B18" s="4" t="s">
        <v>128</v>
      </c>
      <c r="C18" s="4" t="s">
        <v>203</v>
      </c>
      <c r="D18" s="4" t="s">
        <v>204</v>
      </c>
      <c r="E18" s="11" t="s">
        <v>164</v>
      </c>
    </row>
    <row r="19" customFormat="false" ht="15" hidden="false" customHeight="false" outlineLevel="0" collapsed="false">
      <c r="A19" s="10" t="s">
        <v>205</v>
      </c>
      <c r="B19" s="4" t="s">
        <v>128</v>
      </c>
      <c r="C19" s="4" t="s">
        <v>206</v>
      </c>
      <c r="D19" s="4" t="s">
        <v>207</v>
      </c>
      <c r="E19" s="11" t="s">
        <v>164</v>
      </c>
    </row>
    <row r="20" customFormat="false" ht="15" hidden="false" customHeight="false" outlineLevel="0" collapsed="false">
      <c r="A20" s="10" t="s">
        <v>208</v>
      </c>
      <c r="B20" s="4" t="s">
        <v>128</v>
      </c>
      <c r="C20" s="13" t="s">
        <v>209</v>
      </c>
      <c r="D20" s="4" t="s">
        <v>210</v>
      </c>
      <c r="E20" s="11" t="s">
        <v>164</v>
      </c>
    </row>
    <row r="21" customFormat="false" ht="35.05" hidden="false" customHeight="false" outlineLevel="0" collapsed="false">
      <c r="A21" s="10" t="s">
        <v>211</v>
      </c>
      <c r="B21" s="4" t="s">
        <v>128</v>
      </c>
      <c r="C21" s="4" t="s">
        <v>212</v>
      </c>
      <c r="D21" s="4" t="s">
        <v>213</v>
      </c>
      <c r="E21" s="11" t="s">
        <v>164</v>
      </c>
    </row>
    <row r="22" customFormat="false" ht="15" hidden="false" customHeight="false" outlineLevel="0" collapsed="false">
      <c r="A22" s="10" t="s">
        <v>214</v>
      </c>
      <c r="B22" s="4" t="s">
        <v>131</v>
      </c>
      <c r="C22" s="4" t="s">
        <v>215</v>
      </c>
      <c r="D22" s="4" t="s">
        <v>216</v>
      </c>
      <c r="E22" s="11" t="s">
        <v>164</v>
      </c>
    </row>
    <row r="23" customFormat="false" ht="23.85" hidden="false" customHeight="false" outlineLevel="0" collapsed="false">
      <c r="A23" s="10" t="s">
        <v>217</v>
      </c>
      <c r="B23" s="4" t="s">
        <v>131</v>
      </c>
      <c r="C23" s="4" t="s">
        <v>218</v>
      </c>
      <c r="D23" s="4" t="s">
        <v>219</v>
      </c>
      <c r="E23" s="11" t="s">
        <v>164</v>
      </c>
    </row>
    <row r="24" customFormat="false" ht="23.85" hidden="false" customHeight="false" outlineLevel="0" collapsed="false">
      <c r="A24" s="10" t="s">
        <v>220</v>
      </c>
      <c r="B24" s="4" t="s">
        <v>131</v>
      </c>
      <c r="C24" s="4" t="s">
        <v>221</v>
      </c>
      <c r="D24" s="4" t="s">
        <v>222</v>
      </c>
      <c r="E24" s="11" t="s">
        <v>164</v>
      </c>
    </row>
    <row r="25" customFormat="false" ht="15" hidden="false" customHeight="false" outlineLevel="0" collapsed="false">
      <c r="A25" s="10" t="s">
        <v>223</v>
      </c>
      <c r="B25" s="4" t="s">
        <v>131</v>
      </c>
      <c r="C25" s="4" t="s">
        <v>224</v>
      </c>
      <c r="D25" s="4" t="s">
        <v>225</v>
      </c>
      <c r="E25" s="11" t="s">
        <v>164</v>
      </c>
    </row>
    <row r="26" customFormat="false" ht="15" hidden="false" customHeight="false" outlineLevel="0" collapsed="false">
      <c r="A26" s="10" t="s">
        <v>226</v>
      </c>
      <c r="B26" s="4" t="s">
        <v>131</v>
      </c>
      <c r="C26" s="4" t="s">
        <v>227</v>
      </c>
      <c r="D26" s="4" t="s">
        <v>228</v>
      </c>
      <c r="E26" s="11" t="s">
        <v>164</v>
      </c>
    </row>
    <row r="27" customFormat="false" ht="15" hidden="false" customHeight="false" outlineLevel="0" collapsed="false">
      <c r="A27" s="10" t="s">
        <v>229</v>
      </c>
      <c r="B27" s="4" t="s">
        <v>131</v>
      </c>
      <c r="C27" s="4" t="s">
        <v>230</v>
      </c>
      <c r="D27" s="4" t="s">
        <v>231</v>
      </c>
      <c r="E27" s="12" t="s">
        <v>177</v>
      </c>
    </row>
    <row r="28" customFormat="false" ht="15" hidden="false" customHeight="false" outlineLevel="0" collapsed="false">
      <c r="A28" s="10" t="s">
        <v>232</v>
      </c>
      <c r="B28" s="4" t="s">
        <v>134</v>
      </c>
      <c r="C28" s="4" t="s">
        <v>233</v>
      </c>
      <c r="D28" s="4" t="s">
        <v>234</v>
      </c>
      <c r="E28" s="11" t="s">
        <v>164</v>
      </c>
    </row>
    <row r="29" customFormat="false" ht="23.85" hidden="false" customHeight="false" outlineLevel="0" collapsed="false">
      <c r="A29" s="10" t="s">
        <v>235</v>
      </c>
      <c r="B29" s="4" t="s">
        <v>134</v>
      </c>
      <c r="C29" s="4" t="s">
        <v>236</v>
      </c>
      <c r="D29" s="4" t="s">
        <v>237</v>
      </c>
      <c r="E29" s="11" t="s">
        <v>164</v>
      </c>
    </row>
    <row r="30" customFormat="false" ht="15" hidden="false" customHeight="false" outlineLevel="0" collapsed="false">
      <c r="A30" s="10" t="s">
        <v>238</v>
      </c>
      <c r="B30" s="4" t="s">
        <v>134</v>
      </c>
      <c r="C30" s="4" t="s">
        <v>239</v>
      </c>
      <c r="D30" s="4" t="s">
        <v>240</v>
      </c>
      <c r="E30" s="11" t="s">
        <v>164</v>
      </c>
    </row>
    <row r="31" customFormat="false" ht="15" hidden="false" customHeight="false" outlineLevel="0" collapsed="false">
      <c r="A31" s="10" t="s">
        <v>241</v>
      </c>
      <c r="B31" s="4" t="s">
        <v>134</v>
      </c>
      <c r="C31" s="4" t="s">
        <v>242</v>
      </c>
      <c r="D31" s="4" t="s">
        <v>243</v>
      </c>
      <c r="E31" s="12" t="s">
        <v>177</v>
      </c>
    </row>
    <row r="32" customFormat="false" ht="23.85" hidden="false" customHeight="false" outlineLevel="0" collapsed="false">
      <c r="A32" s="10" t="s">
        <v>244</v>
      </c>
      <c r="B32" s="4" t="s">
        <v>137</v>
      </c>
      <c r="C32" s="4" t="s">
        <v>245</v>
      </c>
      <c r="D32" s="4" t="s">
        <v>246</v>
      </c>
      <c r="E32" s="11" t="s">
        <v>164</v>
      </c>
    </row>
    <row r="33" customFormat="false" ht="15" hidden="false" customHeight="false" outlineLevel="0" collapsed="false">
      <c r="A33" s="10" t="s">
        <v>247</v>
      </c>
      <c r="B33" s="4" t="s">
        <v>137</v>
      </c>
      <c r="C33" s="4" t="s">
        <v>248</v>
      </c>
      <c r="D33" s="4" t="s">
        <v>249</v>
      </c>
      <c r="E33" s="11" t="s">
        <v>164</v>
      </c>
    </row>
    <row r="34" customFormat="false" ht="15" hidden="false" customHeight="false" outlineLevel="0" collapsed="false">
      <c r="A34" s="10" t="s">
        <v>250</v>
      </c>
      <c r="B34" s="4" t="s">
        <v>137</v>
      </c>
      <c r="C34" s="4" t="s">
        <v>251</v>
      </c>
      <c r="D34" s="4" t="s">
        <v>252</v>
      </c>
      <c r="E34" s="11" t="s">
        <v>164</v>
      </c>
    </row>
    <row r="35" customFormat="false" ht="23.85" hidden="false" customHeight="false" outlineLevel="0" collapsed="false">
      <c r="A35" s="10" t="s">
        <v>253</v>
      </c>
      <c r="B35" s="4" t="s">
        <v>137</v>
      </c>
      <c r="C35" s="4" t="s">
        <v>254</v>
      </c>
      <c r="D35" s="4" t="s">
        <v>255</v>
      </c>
      <c r="E35" s="11" t="s">
        <v>164</v>
      </c>
    </row>
    <row r="36" customFormat="false" ht="15" hidden="false" customHeight="false" outlineLevel="0" collapsed="false">
      <c r="A36" s="10" t="s">
        <v>256</v>
      </c>
      <c r="B36" s="4" t="s">
        <v>137</v>
      </c>
      <c r="C36" s="4" t="s">
        <v>257</v>
      </c>
      <c r="D36" s="4" t="s">
        <v>258</v>
      </c>
      <c r="E36" s="11" t="s">
        <v>164</v>
      </c>
    </row>
    <row r="37" customFormat="false" ht="15" hidden="false" customHeight="false" outlineLevel="0" collapsed="false">
      <c r="A37" s="10" t="s">
        <v>259</v>
      </c>
      <c r="B37" s="4" t="s">
        <v>140</v>
      </c>
      <c r="C37" s="4" t="s">
        <v>260</v>
      </c>
      <c r="D37" s="4" t="s">
        <v>261</v>
      </c>
      <c r="E37" s="11" t="s">
        <v>164</v>
      </c>
    </row>
    <row r="38" customFormat="false" ht="26.85" hidden="false" customHeight="false" outlineLevel="0" collapsed="false">
      <c r="A38" s="10" t="s">
        <v>262</v>
      </c>
      <c r="B38" s="4" t="s">
        <v>140</v>
      </c>
      <c r="C38" s="4" t="s">
        <v>263</v>
      </c>
      <c r="D38" s="4" t="s">
        <v>264</v>
      </c>
      <c r="E38" s="11" t="s">
        <v>164</v>
      </c>
    </row>
    <row r="39" customFormat="false" ht="23.85" hidden="false" customHeight="false" outlineLevel="0" collapsed="false">
      <c r="A39" s="10" t="s">
        <v>265</v>
      </c>
      <c r="B39" s="4" t="s">
        <v>140</v>
      </c>
      <c r="C39" s="4" t="s">
        <v>266</v>
      </c>
      <c r="D39" s="4" t="s">
        <v>267</v>
      </c>
      <c r="E39" s="11" t="s">
        <v>164</v>
      </c>
    </row>
    <row r="40" customFormat="false" ht="15" hidden="false" customHeight="false" outlineLevel="0" collapsed="false">
      <c r="A40" s="10" t="s">
        <v>268</v>
      </c>
      <c r="B40" s="4" t="s">
        <v>140</v>
      </c>
      <c r="C40" s="4" t="s">
        <v>269</v>
      </c>
      <c r="D40" s="4" t="s">
        <v>270</v>
      </c>
      <c r="E40" s="12" t="s">
        <v>177</v>
      </c>
    </row>
    <row r="41" customFormat="false" ht="15" hidden="false" customHeight="false" outlineLevel="0" collapsed="false">
      <c r="A41" s="10" t="s">
        <v>271</v>
      </c>
      <c r="B41" s="4" t="s">
        <v>143</v>
      </c>
      <c r="C41" s="4" t="s">
        <v>272</v>
      </c>
      <c r="D41" s="4" t="s">
        <v>273</v>
      </c>
      <c r="E41" s="12" t="s">
        <v>177</v>
      </c>
    </row>
    <row r="42" customFormat="false" ht="15" hidden="false" customHeight="false" outlineLevel="0" collapsed="false">
      <c r="A42" s="10" t="s">
        <v>274</v>
      </c>
      <c r="B42" s="4" t="s">
        <v>143</v>
      </c>
      <c r="C42" s="4" t="s">
        <v>275</v>
      </c>
      <c r="D42" s="4" t="s">
        <v>276</v>
      </c>
      <c r="E42" s="11" t="s">
        <v>164</v>
      </c>
    </row>
    <row r="43" customFormat="false" ht="23.85" hidden="false" customHeight="false" outlineLevel="0" collapsed="false">
      <c r="A43" s="10" t="s">
        <v>277</v>
      </c>
      <c r="B43" s="4" t="s">
        <v>143</v>
      </c>
      <c r="C43" s="4" t="s">
        <v>278</v>
      </c>
      <c r="D43" s="4" t="s">
        <v>273</v>
      </c>
      <c r="E43" s="12" t="s">
        <v>177</v>
      </c>
    </row>
    <row r="44" customFormat="false" ht="15" hidden="false" customHeight="false" outlineLevel="0" collapsed="false">
      <c r="A44" s="10" t="s">
        <v>279</v>
      </c>
      <c r="B44" s="4" t="s">
        <v>146</v>
      </c>
      <c r="C44" s="4" t="s">
        <v>280</v>
      </c>
      <c r="D44" s="4" t="s">
        <v>281</v>
      </c>
      <c r="E44" s="11" t="s">
        <v>164</v>
      </c>
    </row>
    <row r="45" customFormat="false" ht="15" hidden="false" customHeight="false" outlineLevel="0" collapsed="false">
      <c r="A45" s="10" t="s">
        <v>282</v>
      </c>
      <c r="B45" s="4" t="s">
        <v>146</v>
      </c>
      <c r="C45" s="4" t="s">
        <v>283</v>
      </c>
      <c r="D45" s="4" t="s">
        <v>284</v>
      </c>
      <c r="E45" s="11" t="s">
        <v>164</v>
      </c>
    </row>
    <row r="46" customFormat="false" ht="15" hidden="false" customHeight="false" outlineLevel="0" collapsed="false">
      <c r="A46" s="10" t="s">
        <v>285</v>
      </c>
      <c r="B46" s="4" t="s">
        <v>146</v>
      </c>
      <c r="C46" s="4" t="s">
        <v>286</v>
      </c>
      <c r="D46" s="4" t="s">
        <v>287</v>
      </c>
      <c r="E46" s="11" t="s">
        <v>164</v>
      </c>
    </row>
    <row r="47" customFormat="false" ht="23.85" hidden="false" customHeight="false" outlineLevel="0" collapsed="false">
      <c r="A47" s="10" t="s">
        <v>288</v>
      </c>
      <c r="B47" s="4" t="s">
        <v>149</v>
      </c>
      <c r="C47" s="4" t="s">
        <v>289</v>
      </c>
      <c r="D47" s="4" t="s">
        <v>290</v>
      </c>
      <c r="E47" s="11" t="s">
        <v>164</v>
      </c>
    </row>
    <row r="48" customFormat="false" ht="23.85" hidden="false" customHeight="false" outlineLevel="0" collapsed="false">
      <c r="A48" s="10" t="s">
        <v>291</v>
      </c>
      <c r="B48" s="4" t="s">
        <v>149</v>
      </c>
      <c r="C48" s="4" t="s">
        <v>292</v>
      </c>
      <c r="D48" s="4" t="s">
        <v>293</v>
      </c>
      <c r="E48" s="11" t="s">
        <v>164</v>
      </c>
    </row>
    <row r="49" customFormat="false" ht="15" hidden="false" customHeight="false" outlineLevel="0" collapsed="false">
      <c r="A49" s="10" t="s">
        <v>294</v>
      </c>
      <c r="B49" s="4" t="s">
        <v>149</v>
      </c>
      <c r="C49" s="4" t="s">
        <v>295</v>
      </c>
      <c r="D49" s="4" t="s">
        <v>296</v>
      </c>
      <c r="E49" s="12" t="s">
        <v>177</v>
      </c>
    </row>
    <row r="50" customFormat="false" ht="23.85" hidden="false" customHeight="false" outlineLevel="0" collapsed="false">
      <c r="A50" s="10" t="s">
        <v>297</v>
      </c>
      <c r="B50" s="4" t="s">
        <v>152</v>
      </c>
      <c r="C50" s="4" t="s">
        <v>298</v>
      </c>
      <c r="D50" s="4" t="s">
        <v>299</v>
      </c>
      <c r="E50" s="11" t="s">
        <v>164</v>
      </c>
    </row>
    <row r="51" customFormat="false" ht="15" hidden="false" customHeight="false" outlineLevel="0" collapsed="false">
      <c r="A51" s="10" t="s">
        <v>300</v>
      </c>
      <c r="B51" s="4" t="s">
        <v>152</v>
      </c>
      <c r="C51" s="4" t="s">
        <v>301</v>
      </c>
      <c r="D51" s="4" t="s">
        <v>302</v>
      </c>
      <c r="E51" s="11" t="s">
        <v>164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7" min="6" style="0" width="9"/>
  </cols>
  <sheetData>
    <row r="1" customFormat="false" ht="25.5" hidden="false" customHeight="true" outlineLevel="0" collapsed="false">
      <c r="A1" s="1" t="s">
        <v>303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304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3" t="s">
        <v>305</v>
      </c>
      <c r="B4" s="3" t="s">
        <v>306</v>
      </c>
      <c r="C4" s="3" t="s">
        <v>157</v>
      </c>
      <c r="D4" s="3" t="s">
        <v>307</v>
      </c>
      <c r="E4" s="3" t="s">
        <v>60</v>
      </c>
      <c r="F4" s="3" t="s">
        <v>308</v>
      </c>
      <c r="G4" s="3" t="s">
        <v>160</v>
      </c>
    </row>
    <row r="5" customFormat="false" ht="15" hidden="false" customHeight="false" outlineLevel="0" collapsed="false">
      <c r="A5" s="10" t="s">
        <v>309</v>
      </c>
      <c r="B5" s="4" t="s">
        <v>310</v>
      </c>
      <c r="C5" s="4" t="s">
        <v>149</v>
      </c>
      <c r="D5" s="4" t="s">
        <v>311</v>
      </c>
      <c r="E5" s="4" t="s">
        <v>312</v>
      </c>
      <c r="F5" s="14" t="s">
        <v>313</v>
      </c>
      <c r="G5" s="15" t="s">
        <v>164</v>
      </c>
    </row>
    <row r="6" customFormat="false" ht="15" hidden="false" customHeight="false" outlineLevel="0" collapsed="false">
      <c r="A6" s="10" t="s">
        <v>314</v>
      </c>
      <c r="B6" s="4" t="s">
        <v>315</v>
      </c>
      <c r="C6" s="4" t="s">
        <v>143</v>
      </c>
      <c r="D6" s="4" t="s">
        <v>316</v>
      </c>
      <c r="E6" s="4" t="s">
        <v>317</v>
      </c>
      <c r="F6" s="16" t="s">
        <v>318</v>
      </c>
      <c r="G6" s="15" t="s">
        <v>177</v>
      </c>
    </row>
    <row r="7" customFormat="false" ht="15" hidden="false" customHeight="false" outlineLevel="0" collapsed="false">
      <c r="A7" s="10" t="s">
        <v>319</v>
      </c>
      <c r="B7" s="4" t="s">
        <v>320</v>
      </c>
      <c r="C7" s="4" t="s">
        <v>119</v>
      </c>
      <c r="D7" s="4" t="s">
        <v>321</v>
      </c>
      <c r="E7" s="4" t="s">
        <v>312</v>
      </c>
      <c r="F7" s="17" t="s">
        <v>322</v>
      </c>
      <c r="G7" s="15" t="s">
        <v>164</v>
      </c>
    </row>
    <row r="8" customFormat="false" ht="15" hidden="false" customHeight="false" outlineLevel="0" collapsed="false">
      <c r="A8" s="10" t="s">
        <v>323</v>
      </c>
      <c r="B8" s="4" t="s">
        <v>324</v>
      </c>
      <c r="C8" s="4" t="s">
        <v>119</v>
      </c>
      <c r="D8" s="4" t="s">
        <v>325</v>
      </c>
      <c r="E8" s="4" t="s">
        <v>312</v>
      </c>
      <c r="F8" s="17" t="s">
        <v>322</v>
      </c>
      <c r="G8" s="15" t="s">
        <v>164</v>
      </c>
    </row>
    <row r="9" customFormat="false" ht="15" hidden="false" customHeight="false" outlineLevel="0" collapsed="false">
      <c r="A9" s="10" t="s">
        <v>326</v>
      </c>
      <c r="B9" s="4" t="s">
        <v>327</v>
      </c>
      <c r="C9" s="4" t="s">
        <v>119</v>
      </c>
      <c r="D9" s="4" t="s">
        <v>328</v>
      </c>
      <c r="E9" s="4" t="s">
        <v>329</v>
      </c>
      <c r="F9" s="17" t="s">
        <v>322</v>
      </c>
      <c r="G9" s="15" t="s">
        <v>164</v>
      </c>
    </row>
    <row r="10" customFormat="false" ht="15" hidden="false" customHeight="false" outlineLevel="0" collapsed="false">
      <c r="A10" s="10" t="s">
        <v>330</v>
      </c>
      <c r="B10" s="4" t="s">
        <v>331</v>
      </c>
      <c r="C10" s="4" t="s">
        <v>119</v>
      </c>
      <c r="D10" s="4" t="s">
        <v>332</v>
      </c>
      <c r="E10" s="4" t="s">
        <v>333</v>
      </c>
      <c r="F10" s="17" t="s">
        <v>322</v>
      </c>
      <c r="G10" s="15" t="s">
        <v>164</v>
      </c>
    </row>
    <row r="11" customFormat="false" ht="15" hidden="false" customHeight="false" outlineLevel="0" collapsed="false">
      <c r="A11" s="10" t="s">
        <v>334</v>
      </c>
      <c r="B11" s="4" t="s">
        <v>335</v>
      </c>
      <c r="C11" s="4" t="s">
        <v>122</v>
      </c>
      <c r="D11" s="4" t="s">
        <v>336</v>
      </c>
      <c r="E11" s="4" t="s">
        <v>329</v>
      </c>
      <c r="F11" s="17" t="s">
        <v>322</v>
      </c>
      <c r="G11" s="15" t="s">
        <v>177</v>
      </c>
    </row>
    <row r="12" customFormat="false" ht="15" hidden="false" customHeight="false" outlineLevel="0" collapsed="false">
      <c r="A12" s="10" t="s">
        <v>337</v>
      </c>
      <c r="B12" s="4" t="s">
        <v>338</v>
      </c>
      <c r="C12" s="4" t="s">
        <v>122</v>
      </c>
      <c r="D12" s="4" t="s">
        <v>336</v>
      </c>
      <c r="E12" s="4" t="s">
        <v>312</v>
      </c>
      <c r="F12" s="16" t="s">
        <v>318</v>
      </c>
      <c r="G12" s="15" t="s">
        <v>164</v>
      </c>
    </row>
    <row r="13" customFormat="false" ht="15" hidden="false" customHeight="false" outlineLevel="0" collapsed="false">
      <c r="A13" s="10" t="s">
        <v>339</v>
      </c>
      <c r="B13" s="4" t="s">
        <v>340</v>
      </c>
      <c r="C13" s="4" t="s">
        <v>125</v>
      </c>
      <c r="D13" s="4" t="s">
        <v>341</v>
      </c>
      <c r="E13" s="4" t="s">
        <v>333</v>
      </c>
      <c r="F13" s="17" t="s">
        <v>322</v>
      </c>
      <c r="G13" s="15" t="s">
        <v>177</v>
      </c>
    </row>
    <row r="14" customFormat="false" ht="15" hidden="false" customHeight="false" outlineLevel="0" collapsed="false">
      <c r="A14" s="10" t="s">
        <v>342</v>
      </c>
      <c r="B14" s="4" t="s">
        <v>343</v>
      </c>
      <c r="C14" s="4" t="s">
        <v>125</v>
      </c>
      <c r="D14" s="4" t="s">
        <v>336</v>
      </c>
      <c r="E14" s="4" t="s">
        <v>312</v>
      </c>
      <c r="F14" s="17" t="s">
        <v>322</v>
      </c>
      <c r="G14" s="15" t="s">
        <v>177</v>
      </c>
    </row>
    <row r="15" customFormat="false" ht="15" hidden="false" customHeight="false" outlineLevel="0" collapsed="false">
      <c r="A15" s="10" t="s">
        <v>344</v>
      </c>
      <c r="B15" s="13" t="s">
        <v>345</v>
      </c>
      <c r="C15" s="4" t="s">
        <v>125</v>
      </c>
      <c r="D15" s="4" t="s">
        <v>346</v>
      </c>
      <c r="E15" s="4" t="s">
        <v>312</v>
      </c>
      <c r="F15" s="16" t="s">
        <v>318</v>
      </c>
      <c r="G15" s="15" t="s">
        <v>164</v>
      </c>
    </row>
    <row r="16" customFormat="false" ht="15" hidden="false" customHeight="false" outlineLevel="0" collapsed="false">
      <c r="A16" s="10" t="s">
        <v>347</v>
      </c>
      <c r="B16" s="4" t="s">
        <v>348</v>
      </c>
      <c r="C16" s="4" t="s">
        <v>125</v>
      </c>
      <c r="D16" s="4" t="s">
        <v>341</v>
      </c>
      <c r="E16" s="4" t="s">
        <v>312</v>
      </c>
      <c r="F16" s="17" t="s">
        <v>322</v>
      </c>
      <c r="G16" s="15" t="s">
        <v>177</v>
      </c>
    </row>
    <row r="17" customFormat="false" ht="15" hidden="false" customHeight="false" outlineLevel="0" collapsed="false">
      <c r="A17" s="10" t="s">
        <v>349</v>
      </c>
      <c r="B17" s="4" t="s">
        <v>350</v>
      </c>
      <c r="C17" s="4" t="s">
        <v>131</v>
      </c>
      <c r="D17" s="4" t="s">
        <v>351</v>
      </c>
      <c r="E17" s="4" t="s">
        <v>329</v>
      </c>
      <c r="F17" s="17" t="s">
        <v>322</v>
      </c>
      <c r="G17" s="15" t="s">
        <v>164</v>
      </c>
    </row>
    <row r="18" customFormat="false" ht="15" hidden="false" customHeight="false" outlineLevel="0" collapsed="false">
      <c r="A18" s="10" t="s">
        <v>352</v>
      </c>
      <c r="B18" s="4" t="s">
        <v>353</v>
      </c>
      <c r="C18" s="4" t="s">
        <v>131</v>
      </c>
      <c r="D18" s="4" t="s">
        <v>336</v>
      </c>
      <c r="E18" s="4" t="s">
        <v>312</v>
      </c>
      <c r="F18" s="16" t="s">
        <v>318</v>
      </c>
      <c r="G18" s="15" t="s">
        <v>164</v>
      </c>
    </row>
    <row r="19" customFormat="false" ht="15" hidden="false" customHeight="false" outlineLevel="0" collapsed="false">
      <c r="A19" s="10" t="s">
        <v>354</v>
      </c>
      <c r="B19" s="4" t="s">
        <v>355</v>
      </c>
      <c r="C19" s="4" t="s">
        <v>131</v>
      </c>
      <c r="D19" s="4" t="s">
        <v>336</v>
      </c>
      <c r="E19" s="4" t="s">
        <v>312</v>
      </c>
      <c r="F19" s="16" t="s">
        <v>318</v>
      </c>
      <c r="G19" s="15" t="s">
        <v>164</v>
      </c>
    </row>
    <row r="20" customFormat="false" ht="15" hidden="false" customHeight="false" outlineLevel="0" collapsed="false">
      <c r="A20" s="10" t="s">
        <v>356</v>
      </c>
      <c r="B20" s="4" t="s">
        <v>357</v>
      </c>
      <c r="C20" s="4" t="s">
        <v>131</v>
      </c>
      <c r="D20" s="4" t="s">
        <v>336</v>
      </c>
      <c r="E20" s="4" t="s">
        <v>312</v>
      </c>
      <c r="F20" s="17" t="s">
        <v>322</v>
      </c>
      <c r="G20" s="15" t="s">
        <v>164</v>
      </c>
    </row>
    <row r="21" customFormat="false" ht="15" hidden="false" customHeight="false" outlineLevel="0" collapsed="false">
      <c r="A21" s="10" t="s">
        <v>358</v>
      </c>
      <c r="B21" s="4" t="s">
        <v>359</v>
      </c>
      <c r="C21" s="4" t="s">
        <v>131</v>
      </c>
      <c r="D21" s="4" t="s">
        <v>360</v>
      </c>
      <c r="E21" s="4" t="s">
        <v>312</v>
      </c>
      <c r="F21" s="16" t="s">
        <v>318</v>
      </c>
      <c r="G21" s="15" t="s">
        <v>164</v>
      </c>
    </row>
    <row r="22" customFormat="false" ht="15" hidden="false" customHeight="false" outlineLevel="0" collapsed="false">
      <c r="A22" s="10" t="s">
        <v>361</v>
      </c>
      <c r="B22" s="4" t="s">
        <v>362</v>
      </c>
      <c r="C22" s="4" t="s">
        <v>131</v>
      </c>
      <c r="D22" s="4" t="s">
        <v>363</v>
      </c>
      <c r="E22" s="4" t="s">
        <v>312</v>
      </c>
      <c r="F22" s="17" t="s">
        <v>322</v>
      </c>
      <c r="G22" s="15" t="s">
        <v>177</v>
      </c>
    </row>
    <row r="23" customFormat="false" ht="15" hidden="false" customHeight="false" outlineLevel="0" collapsed="false">
      <c r="A23" s="10" t="s">
        <v>364</v>
      </c>
      <c r="B23" s="4" t="s">
        <v>365</v>
      </c>
      <c r="C23" s="4" t="s">
        <v>134</v>
      </c>
      <c r="D23" s="13" t="s">
        <v>366</v>
      </c>
      <c r="E23" s="4" t="s">
        <v>312</v>
      </c>
      <c r="F23" s="16" t="s">
        <v>318</v>
      </c>
      <c r="G23" s="15" t="s">
        <v>164</v>
      </c>
    </row>
    <row r="24" customFormat="false" ht="15" hidden="false" customHeight="false" outlineLevel="0" collapsed="false">
      <c r="A24" s="10" t="s">
        <v>367</v>
      </c>
      <c r="B24" s="4" t="s">
        <v>368</v>
      </c>
      <c r="C24" s="4" t="s">
        <v>134</v>
      </c>
      <c r="D24" s="13" t="s">
        <v>366</v>
      </c>
      <c r="E24" s="4" t="s">
        <v>369</v>
      </c>
      <c r="F24" s="16" t="s">
        <v>318</v>
      </c>
      <c r="G24" s="15" t="s">
        <v>164</v>
      </c>
    </row>
    <row r="25" customFormat="false" ht="15" hidden="false" customHeight="false" outlineLevel="0" collapsed="false">
      <c r="A25" s="10" t="s">
        <v>370</v>
      </c>
      <c r="B25" s="4" t="s">
        <v>371</v>
      </c>
      <c r="C25" s="4" t="s">
        <v>134</v>
      </c>
      <c r="D25" s="13" t="s">
        <v>366</v>
      </c>
      <c r="E25" s="4" t="s">
        <v>312</v>
      </c>
      <c r="F25" s="17" t="s">
        <v>322</v>
      </c>
      <c r="G25" s="15" t="s">
        <v>164</v>
      </c>
    </row>
    <row r="26" customFormat="false" ht="15" hidden="false" customHeight="false" outlineLevel="0" collapsed="false">
      <c r="A26" s="10" t="s">
        <v>372</v>
      </c>
      <c r="B26" s="4" t="s">
        <v>373</v>
      </c>
      <c r="C26" s="4" t="s">
        <v>134</v>
      </c>
      <c r="D26" s="4" t="s">
        <v>360</v>
      </c>
      <c r="E26" s="4" t="s">
        <v>369</v>
      </c>
      <c r="F26" s="17" t="s">
        <v>322</v>
      </c>
      <c r="G26" s="15" t="s">
        <v>177</v>
      </c>
    </row>
    <row r="27" customFormat="false" ht="15" hidden="false" customHeight="false" outlineLevel="0" collapsed="false">
      <c r="A27" s="10" t="s">
        <v>374</v>
      </c>
      <c r="B27" s="4" t="s">
        <v>375</v>
      </c>
      <c r="C27" s="4" t="s">
        <v>137</v>
      </c>
      <c r="D27" s="4" t="s">
        <v>346</v>
      </c>
      <c r="E27" s="4" t="s">
        <v>312</v>
      </c>
      <c r="F27" s="17" t="s">
        <v>322</v>
      </c>
      <c r="G27" s="15" t="s">
        <v>164</v>
      </c>
    </row>
    <row r="28" customFormat="false" ht="15" hidden="false" customHeight="false" outlineLevel="0" collapsed="false">
      <c r="A28" s="10" t="s">
        <v>376</v>
      </c>
      <c r="B28" s="4" t="s">
        <v>377</v>
      </c>
      <c r="C28" s="4" t="s">
        <v>137</v>
      </c>
      <c r="D28" s="4" t="s">
        <v>378</v>
      </c>
      <c r="E28" s="4" t="s">
        <v>317</v>
      </c>
      <c r="F28" s="16" t="s">
        <v>318</v>
      </c>
      <c r="G28" s="15" t="s">
        <v>164</v>
      </c>
    </row>
    <row r="29" customFormat="false" ht="15" hidden="false" customHeight="false" outlineLevel="0" collapsed="false">
      <c r="A29" s="10" t="s">
        <v>379</v>
      </c>
      <c r="B29" s="4" t="s">
        <v>380</v>
      </c>
      <c r="C29" s="4" t="s">
        <v>137</v>
      </c>
      <c r="D29" s="4" t="s">
        <v>346</v>
      </c>
      <c r="E29" s="4" t="s">
        <v>333</v>
      </c>
      <c r="F29" s="17" t="s">
        <v>322</v>
      </c>
      <c r="G29" s="15" t="s">
        <v>164</v>
      </c>
    </row>
    <row r="30" customFormat="false" ht="15" hidden="false" customHeight="false" outlineLevel="0" collapsed="false">
      <c r="A30" s="10" t="s">
        <v>381</v>
      </c>
      <c r="B30" s="4" t="s">
        <v>382</v>
      </c>
      <c r="C30" s="4" t="s">
        <v>137</v>
      </c>
      <c r="D30" s="4" t="s">
        <v>346</v>
      </c>
      <c r="E30" s="4" t="s">
        <v>312</v>
      </c>
      <c r="F30" s="16" t="s">
        <v>318</v>
      </c>
      <c r="G30" s="15" t="s">
        <v>164</v>
      </c>
    </row>
    <row r="31" customFormat="false" ht="15" hidden="false" customHeight="false" outlineLevel="0" collapsed="false">
      <c r="A31" s="10" t="s">
        <v>383</v>
      </c>
      <c r="B31" s="4" t="s">
        <v>384</v>
      </c>
      <c r="C31" s="4" t="s">
        <v>137</v>
      </c>
      <c r="D31" s="4" t="s">
        <v>346</v>
      </c>
      <c r="E31" s="4" t="s">
        <v>333</v>
      </c>
      <c r="F31" s="17" t="s">
        <v>322</v>
      </c>
      <c r="G31" s="15" t="s">
        <v>164</v>
      </c>
    </row>
    <row r="32" customFormat="false" ht="15" hidden="false" customHeight="false" outlineLevel="0" collapsed="false">
      <c r="A32" s="10" t="s">
        <v>385</v>
      </c>
      <c r="B32" s="4" t="s">
        <v>386</v>
      </c>
      <c r="C32" s="4" t="s">
        <v>140</v>
      </c>
      <c r="D32" s="4" t="s">
        <v>378</v>
      </c>
      <c r="E32" s="4" t="s">
        <v>369</v>
      </c>
      <c r="F32" s="16" t="s">
        <v>318</v>
      </c>
      <c r="G32" s="15" t="s">
        <v>164</v>
      </c>
    </row>
    <row r="33" customFormat="false" ht="15" hidden="false" customHeight="false" outlineLevel="0" collapsed="false">
      <c r="A33" s="10" t="s">
        <v>387</v>
      </c>
      <c r="B33" s="4" t="s">
        <v>388</v>
      </c>
      <c r="C33" s="4" t="s">
        <v>140</v>
      </c>
      <c r="D33" s="4" t="s">
        <v>346</v>
      </c>
      <c r="E33" s="4" t="s">
        <v>312</v>
      </c>
      <c r="F33" s="16" t="s">
        <v>318</v>
      </c>
      <c r="G33" s="15" t="s">
        <v>164</v>
      </c>
    </row>
    <row r="34" customFormat="false" ht="15" hidden="false" customHeight="false" outlineLevel="0" collapsed="false">
      <c r="A34" s="10" t="s">
        <v>389</v>
      </c>
      <c r="B34" s="4" t="s">
        <v>390</v>
      </c>
      <c r="C34" s="4" t="s">
        <v>140</v>
      </c>
      <c r="D34" s="4" t="s">
        <v>346</v>
      </c>
      <c r="E34" s="4" t="s">
        <v>312</v>
      </c>
      <c r="F34" s="17" t="s">
        <v>322</v>
      </c>
      <c r="G34" s="15" t="s">
        <v>177</v>
      </c>
    </row>
    <row r="35" customFormat="false" ht="15" hidden="false" customHeight="false" outlineLevel="0" collapsed="false">
      <c r="A35" s="10" t="s">
        <v>391</v>
      </c>
      <c r="B35" s="4" t="s">
        <v>392</v>
      </c>
      <c r="C35" s="4" t="s">
        <v>143</v>
      </c>
      <c r="D35" s="4" t="s">
        <v>393</v>
      </c>
      <c r="E35" s="4" t="s">
        <v>394</v>
      </c>
      <c r="F35" s="17" t="s">
        <v>322</v>
      </c>
      <c r="G35" s="15" t="s">
        <v>177</v>
      </c>
    </row>
    <row r="36" customFormat="false" ht="15" hidden="false" customHeight="false" outlineLevel="0" collapsed="false">
      <c r="A36" s="10" t="s">
        <v>395</v>
      </c>
      <c r="B36" s="4" t="s">
        <v>396</v>
      </c>
      <c r="C36" s="4" t="s">
        <v>143</v>
      </c>
      <c r="D36" s="4" t="s">
        <v>397</v>
      </c>
      <c r="E36" s="4" t="s">
        <v>394</v>
      </c>
      <c r="F36" s="17" t="s">
        <v>322</v>
      </c>
      <c r="G36" s="15" t="s">
        <v>164</v>
      </c>
    </row>
    <row r="37" customFormat="false" ht="15" hidden="false" customHeight="false" outlineLevel="0" collapsed="false">
      <c r="A37" s="10" t="s">
        <v>398</v>
      </c>
      <c r="B37" s="4" t="s">
        <v>399</v>
      </c>
      <c r="C37" s="4" t="s">
        <v>125</v>
      </c>
      <c r="D37" s="4" t="s">
        <v>321</v>
      </c>
      <c r="E37" s="4" t="s">
        <v>312</v>
      </c>
      <c r="F37" s="17" t="s">
        <v>322</v>
      </c>
      <c r="G37" s="15" t="s">
        <v>164</v>
      </c>
    </row>
    <row r="38" customFormat="false" ht="15" hidden="false" customHeight="false" outlineLevel="0" collapsed="false">
      <c r="A38" s="10" t="s">
        <v>400</v>
      </c>
      <c r="B38" s="4" t="s">
        <v>401</v>
      </c>
      <c r="C38" s="4" t="s">
        <v>149</v>
      </c>
      <c r="D38" s="4" t="s">
        <v>328</v>
      </c>
      <c r="E38" s="4" t="s">
        <v>329</v>
      </c>
      <c r="F38" s="17" t="s">
        <v>322</v>
      </c>
      <c r="G38" s="15" t="s">
        <v>164</v>
      </c>
    </row>
    <row r="39" customFormat="false" ht="15" hidden="false" customHeight="false" outlineLevel="0" collapsed="false">
      <c r="A39" s="10" t="s">
        <v>402</v>
      </c>
      <c r="B39" s="4" t="s">
        <v>403</v>
      </c>
      <c r="C39" s="4" t="s">
        <v>149</v>
      </c>
      <c r="D39" s="4" t="s">
        <v>397</v>
      </c>
      <c r="E39" s="4" t="s">
        <v>333</v>
      </c>
      <c r="F39" s="14" t="s">
        <v>313</v>
      </c>
      <c r="G39" s="15" t="s">
        <v>164</v>
      </c>
    </row>
    <row r="40" customFormat="false" ht="15" hidden="false" customHeight="false" outlineLevel="0" collapsed="false">
      <c r="A40" s="10" t="s">
        <v>404</v>
      </c>
      <c r="B40" s="4" t="s">
        <v>405</v>
      </c>
      <c r="C40" s="4" t="s">
        <v>146</v>
      </c>
      <c r="D40" s="4" t="s">
        <v>406</v>
      </c>
      <c r="E40" s="4" t="s">
        <v>312</v>
      </c>
      <c r="F40" s="17" t="s">
        <v>322</v>
      </c>
      <c r="G40" s="15" t="s">
        <v>164</v>
      </c>
    </row>
    <row r="41" customFormat="false" ht="15" hidden="false" customHeight="false" outlineLevel="0" collapsed="false">
      <c r="A41" s="10" t="s">
        <v>407</v>
      </c>
      <c r="B41" s="4" t="s">
        <v>408</v>
      </c>
      <c r="C41" s="4" t="s">
        <v>146</v>
      </c>
      <c r="D41" s="4" t="s">
        <v>406</v>
      </c>
      <c r="E41" s="4" t="s">
        <v>333</v>
      </c>
      <c r="F41" s="17" t="s">
        <v>322</v>
      </c>
      <c r="G41" s="15" t="s">
        <v>177</v>
      </c>
    </row>
    <row r="42" customFormat="false" ht="15" hidden="false" customHeight="false" outlineLevel="0" collapsed="false">
      <c r="A42" s="10" t="s">
        <v>409</v>
      </c>
      <c r="B42" s="4" t="s">
        <v>410</v>
      </c>
      <c r="C42" s="4" t="s">
        <v>152</v>
      </c>
      <c r="D42" s="4" t="s">
        <v>411</v>
      </c>
      <c r="E42" s="4" t="s">
        <v>312</v>
      </c>
      <c r="F42" s="16" t="s">
        <v>318</v>
      </c>
      <c r="G42" s="15" t="s">
        <v>164</v>
      </c>
    </row>
    <row r="43" customFormat="false" ht="15" hidden="false" customHeight="false" outlineLevel="0" collapsed="false">
      <c r="A43" s="10" t="s">
        <v>412</v>
      </c>
      <c r="B43" s="4" t="s">
        <v>413</v>
      </c>
      <c r="C43" s="4" t="s">
        <v>152</v>
      </c>
      <c r="D43" s="4" t="s">
        <v>411</v>
      </c>
      <c r="E43" s="4" t="s">
        <v>394</v>
      </c>
      <c r="F43" s="16" t="s">
        <v>318</v>
      </c>
      <c r="G43" s="15" t="s">
        <v>164</v>
      </c>
    </row>
    <row r="44" customFormat="false" ht="15" hidden="false" customHeight="false" outlineLevel="0" collapsed="false">
      <c r="A44" s="10" t="s">
        <v>414</v>
      </c>
      <c r="B44" s="4" t="s">
        <v>415</v>
      </c>
      <c r="C44" s="4" t="s">
        <v>152</v>
      </c>
      <c r="D44" s="4" t="s">
        <v>416</v>
      </c>
      <c r="E44" s="4" t="s">
        <v>369</v>
      </c>
      <c r="F44" s="17" t="s">
        <v>322</v>
      </c>
      <c r="G44" s="15" t="s">
        <v>164</v>
      </c>
    </row>
    <row r="45" customFormat="false" ht="15" hidden="false" customHeight="false" outlineLevel="0" collapsed="false">
      <c r="A45" s="10" t="s">
        <v>417</v>
      </c>
      <c r="B45" s="4" t="s">
        <v>418</v>
      </c>
      <c r="C45" s="4" t="s">
        <v>149</v>
      </c>
      <c r="D45" s="4" t="s">
        <v>328</v>
      </c>
      <c r="E45" s="4" t="s">
        <v>312</v>
      </c>
      <c r="F45" s="17" t="s">
        <v>322</v>
      </c>
      <c r="G45" s="15" t="s">
        <v>177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62"/>
    <col collapsed="false" customWidth="true" hidden="false" outlineLevel="0" max="6" min="6" style="0" width="20"/>
    <col collapsed="false" customWidth="true" hidden="false" outlineLevel="0" max="7" min="7" style="0" width="8"/>
  </cols>
  <sheetData>
    <row r="1" customFormat="false" ht="25.5" hidden="false" customHeight="true" outlineLevel="0" collapsed="false">
      <c r="A1" s="1" t="s">
        <v>419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420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3" t="s">
        <v>57</v>
      </c>
      <c r="B4" s="3" t="s">
        <v>421</v>
      </c>
      <c r="C4" s="3" t="s">
        <v>422</v>
      </c>
      <c r="D4" s="3" t="s">
        <v>423</v>
      </c>
      <c r="E4" s="3" t="s">
        <v>424</v>
      </c>
      <c r="F4" s="3" t="s">
        <v>159</v>
      </c>
      <c r="G4" s="3" t="s">
        <v>160</v>
      </c>
    </row>
    <row r="5" customFormat="false" ht="48" hidden="false" customHeight="true" outlineLevel="0" collapsed="false">
      <c r="A5" s="10" t="s">
        <v>425</v>
      </c>
      <c r="B5" s="4" t="s">
        <v>426</v>
      </c>
      <c r="C5" s="4" t="s">
        <v>427</v>
      </c>
      <c r="D5" s="4" t="s">
        <v>428</v>
      </c>
      <c r="E5" s="4" t="s">
        <v>429</v>
      </c>
      <c r="F5" s="4" t="s">
        <v>430</v>
      </c>
      <c r="G5" s="15" t="s">
        <v>164</v>
      </c>
    </row>
    <row r="6" customFormat="false" ht="48" hidden="false" customHeight="true" outlineLevel="0" collapsed="false">
      <c r="A6" s="10" t="s">
        <v>431</v>
      </c>
      <c r="B6" s="4" t="s">
        <v>432</v>
      </c>
      <c r="C6" s="4" t="s">
        <v>433</v>
      </c>
      <c r="D6" s="4" t="s">
        <v>434</v>
      </c>
      <c r="E6" s="4" t="s">
        <v>435</v>
      </c>
      <c r="F6" s="4" t="s">
        <v>210</v>
      </c>
      <c r="G6" s="15" t="s">
        <v>164</v>
      </c>
    </row>
    <row r="7" customFormat="false" ht="48" hidden="false" customHeight="true" outlineLevel="0" collapsed="false">
      <c r="A7" s="10" t="s">
        <v>436</v>
      </c>
      <c r="B7" s="4" t="s">
        <v>437</v>
      </c>
      <c r="C7" s="4" t="s">
        <v>438</v>
      </c>
      <c r="D7" s="4" t="s">
        <v>439</v>
      </c>
      <c r="E7" s="13" t="s">
        <v>440</v>
      </c>
      <c r="F7" s="4" t="s">
        <v>441</v>
      </c>
      <c r="G7" s="15" t="s">
        <v>164</v>
      </c>
    </row>
    <row r="8" customFormat="false" ht="48" hidden="false" customHeight="true" outlineLevel="0" collapsed="false">
      <c r="A8" s="10" t="s">
        <v>442</v>
      </c>
      <c r="B8" s="4" t="s">
        <v>325</v>
      </c>
      <c r="C8" s="4" t="s">
        <v>443</v>
      </c>
      <c r="D8" s="4" t="s">
        <v>444</v>
      </c>
      <c r="E8" s="4" t="s">
        <v>445</v>
      </c>
      <c r="F8" s="4" t="s">
        <v>213</v>
      </c>
      <c r="G8" s="15" t="s">
        <v>164</v>
      </c>
    </row>
    <row r="9" customFormat="false" ht="48" hidden="false" customHeight="true" outlineLevel="0" collapsed="false">
      <c r="A9" s="10" t="s">
        <v>446</v>
      </c>
      <c r="B9" s="4" t="s">
        <v>426</v>
      </c>
      <c r="C9" s="4" t="s">
        <v>447</v>
      </c>
      <c r="D9" s="4" t="s">
        <v>448</v>
      </c>
      <c r="E9" s="4" t="s">
        <v>449</v>
      </c>
      <c r="F9" s="4" t="s">
        <v>450</v>
      </c>
      <c r="G9" s="15" t="s">
        <v>164</v>
      </c>
    </row>
    <row r="10" customFormat="false" ht="48" hidden="false" customHeight="true" outlineLevel="0" collapsed="false">
      <c r="A10" s="10" t="s">
        <v>451</v>
      </c>
      <c r="B10" s="4" t="s">
        <v>452</v>
      </c>
      <c r="C10" s="4" t="s">
        <v>453</v>
      </c>
      <c r="D10" s="4" t="s">
        <v>454</v>
      </c>
      <c r="E10" s="4" t="s">
        <v>455</v>
      </c>
      <c r="F10" s="4" t="s">
        <v>456</v>
      </c>
      <c r="G10" s="15" t="s">
        <v>164</v>
      </c>
    </row>
    <row r="11" customFormat="false" ht="48" hidden="false" customHeight="true" outlineLevel="0" collapsed="false">
      <c r="A11" s="10" t="s">
        <v>457</v>
      </c>
      <c r="B11" s="4" t="s">
        <v>346</v>
      </c>
      <c r="C11" s="4" t="s">
        <v>458</v>
      </c>
      <c r="D11" s="4" t="s">
        <v>459</v>
      </c>
      <c r="E11" s="4" t="s">
        <v>460</v>
      </c>
      <c r="F11" s="4" t="s">
        <v>461</v>
      </c>
      <c r="G11" s="15" t="s">
        <v>164</v>
      </c>
    </row>
    <row r="12" customFormat="false" ht="48" hidden="false" customHeight="true" outlineLevel="0" collapsed="false">
      <c r="A12" s="10" t="s">
        <v>462</v>
      </c>
      <c r="B12" s="4" t="s">
        <v>346</v>
      </c>
      <c r="C12" s="4" t="s">
        <v>463</v>
      </c>
      <c r="D12" s="4" t="s">
        <v>464</v>
      </c>
      <c r="E12" s="4" t="s">
        <v>465</v>
      </c>
      <c r="F12" s="4" t="s">
        <v>466</v>
      </c>
      <c r="G12" s="15" t="s">
        <v>164</v>
      </c>
    </row>
    <row r="13" customFormat="false" ht="48" hidden="false" customHeight="true" outlineLevel="0" collapsed="false">
      <c r="A13" s="10" t="s">
        <v>467</v>
      </c>
      <c r="B13" s="4" t="s">
        <v>360</v>
      </c>
      <c r="C13" s="4" t="s">
        <v>468</v>
      </c>
      <c r="D13" s="4" t="s">
        <v>469</v>
      </c>
      <c r="E13" s="13" t="s">
        <v>470</v>
      </c>
      <c r="F13" s="4" t="s">
        <v>471</v>
      </c>
      <c r="G13" s="15" t="s">
        <v>164</v>
      </c>
    </row>
    <row r="14" customFormat="false" ht="48" hidden="false" customHeight="true" outlineLevel="0" collapsed="false">
      <c r="A14" s="10" t="s">
        <v>472</v>
      </c>
      <c r="B14" s="4" t="s">
        <v>411</v>
      </c>
      <c r="C14" s="4" t="s">
        <v>473</v>
      </c>
      <c r="D14" s="4" t="s">
        <v>474</v>
      </c>
      <c r="E14" s="4" t="s">
        <v>475</v>
      </c>
      <c r="F14" s="4" t="s">
        <v>299</v>
      </c>
      <c r="G14" s="15" t="s">
        <v>164</v>
      </c>
    </row>
    <row r="15" customFormat="false" ht="48" hidden="false" customHeight="true" outlineLevel="0" collapsed="false">
      <c r="A15" s="10" t="s">
        <v>476</v>
      </c>
      <c r="B15" s="4" t="s">
        <v>328</v>
      </c>
      <c r="C15" s="4" t="s">
        <v>477</v>
      </c>
      <c r="D15" s="4" t="s">
        <v>478</v>
      </c>
      <c r="E15" s="4" t="s">
        <v>479</v>
      </c>
      <c r="F15" s="4" t="s">
        <v>480</v>
      </c>
      <c r="G15" s="15" t="s">
        <v>164</v>
      </c>
    </row>
    <row r="16" customFormat="false" ht="48" hidden="false" customHeight="true" outlineLevel="0" collapsed="false">
      <c r="A16" s="10" t="s">
        <v>481</v>
      </c>
      <c r="B16" s="4" t="s">
        <v>397</v>
      </c>
      <c r="C16" s="4" t="s">
        <v>482</v>
      </c>
      <c r="D16" s="4" t="s">
        <v>483</v>
      </c>
      <c r="E16" s="4" t="s">
        <v>484</v>
      </c>
      <c r="F16" s="4" t="s">
        <v>276</v>
      </c>
      <c r="G16" s="15" t="s">
        <v>164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30"/>
  </cols>
  <sheetData>
    <row r="1" customFormat="false" ht="25.5" hidden="false" customHeight="true" outlineLevel="0" collapsed="false">
      <c r="A1" s="1" t="s">
        <v>485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486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487</v>
      </c>
      <c r="B4" s="3" t="s">
        <v>488</v>
      </c>
      <c r="C4" s="3" t="s">
        <v>489</v>
      </c>
      <c r="D4" s="3" t="s">
        <v>160</v>
      </c>
      <c r="E4" s="3" t="s">
        <v>490</v>
      </c>
      <c r="F4" s="3" t="s">
        <v>491</v>
      </c>
    </row>
    <row r="5" customFormat="false" ht="23.85" hidden="false" customHeight="false" outlineLevel="0" collapsed="false">
      <c r="A5" s="18" t="s">
        <v>176</v>
      </c>
      <c r="B5" s="4" t="s">
        <v>492</v>
      </c>
      <c r="C5" s="4" t="s">
        <v>493</v>
      </c>
      <c r="D5" s="19" t="s">
        <v>177</v>
      </c>
      <c r="E5" s="20" t="s">
        <v>494</v>
      </c>
      <c r="F5" s="4"/>
    </row>
    <row r="6" customFormat="false" ht="23.85" hidden="false" customHeight="false" outlineLevel="0" collapsed="false">
      <c r="A6" s="18" t="s">
        <v>495</v>
      </c>
      <c r="B6" s="4" t="s">
        <v>492</v>
      </c>
      <c r="C6" s="4" t="s">
        <v>496</v>
      </c>
      <c r="D6" s="21" t="s">
        <v>164</v>
      </c>
      <c r="E6" s="20" t="s">
        <v>494</v>
      </c>
      <c r="F6" s="4" t="s">
        <v>497</v>
      </c>
    </row>
    <row r="7" customFormat="false" ht="23.85" hidden="false" customHeight="false" outlineLevel="0" collapsed="false">
      <c r="A7" s="18" t="s">
        <v>498</v>
      </c>
      <c r="B7" s="4" t="s">
        <v>492</v>
      </c>
      <c r="C7" s="4" t="s">
        <v>499</v>
      </c>
      <c r="D7" s="19" t="s">
        <v>177</v>
      </c>
      <c r="E7" s="20" t="s">
        <v>494</v>
      </c>
      <c r="F7" s="4"/>
    </row>
    <row r="8" customFormat="false" ht="23.85" hidden="false" customHeight="false" outlineLevel="0" collapsed="false">
      <c r="A8" s="18" t="s">
        <v>500</v>
      </c>
      <c r="B8" s="4" t="s">
        <v>492</v>
      </c>
      <c r="C8" s="4" t="s">
        <v>501</v>
      </c>
      <c r="D8" s="21" t="s">
        <v>164</v>
      </c>
      <c r="E8" s="20" t="s">
        <v>494</v>
      </c>
      <c r="F8" s="4" t="s">
        <v>502</v>
      </c>
    </row>
    <row r="9" customFormat="false" ht="26.85" hidden="false" customHeight="false" outlineLevel="0" collapsed="false">
      <c r="A9" s="18" t="s">
        <v>503</v>
      </c>
      <c r="B9" s="4" t="s">
        <v>492</v>
      </c>
      <c r="C9" s="4" t="s">
        <v>504</v>
      </c>
      <c r="D9" s="21" t="s">
        <v>164</v>
      </c>
      <c r="E9" s="20" t="s">
        <v>494</v>
      </c>
      <c r="F9" s="4"/>
    </row>
    <row r="10" customFormat="false" ht="23.85" hidden="false" customHeight="false" outlineLevel="0" collapsed="false">
      <c r="A10" s="18" t="s">
        <v>505</v>
      </c>
      <c r="B10" s="4" t="s">
        <v>506</v>
      </c>
      <c r="C10" s="4" t="s">
        <v>507</v>
      </c>
      <c r="D10" s="19" t="s">
        <v>177</v>
      </c>
      <c r="E10" s="20" t="s">
        <v>494</v>
      </c>
      <c r="F10" s="4"/>
    </row>
    <row r="11" customFormat="false" ht="23.85" hidden="false" customHeight="false" outlineLevel="0" collapsed="false">
      <c r="A11" s="18" t="s">
        <v>508</v>
      </c>
      <c r="B11" s="4" t="s">
        <v>506</v>
      </c>
      <c r="C11" s="4" t="s">
        <v>509</v>
      </c>
      <c r="D11" s="19" t="s">
        <v>177</v>
      </c>
      <c r="E11" s="20" t="s">
        <v>494</v>
      </c>
      <c r="F11" s="4"/>
    </row>
    <row r="12" customFormat="false" ht="23.85" hidden="false" customHeight="false" outlineLevel="0" collapsed="false">
      <c r="A12" s="18" t="s">
        <v>189</v>
      </c>
      <c r="B12" s="4" t="s">
        <v>506</v>
      </c>
      <c r="C12" s="4" t="s">
        <v>510</v>
      </c>
      <c r="D12" s="21" t="s">
        <v>164</v>
      </c>
      <c r="E12" s="20" t="s">
        <v>494</v>
      </c>
      <c r="F12" s="4"/>
    </row>
    <row r="13" customFormat="false" ht="23.85" hidden="false" customHeight="false" outlineLevel="0" collapsed="false">
      <c r="A13" s="18" t="s">
        <v>195</v>
      </c>
      <c r="B13" s="4" t="s">
        <v>506</v>
      </c>
      <c r="C13" s="4" t="s">
        <v>511</v>
      </c>
      <c r="D13" s="19" t="s">
        <v>177</v>
      </c>
      <c r="E13" s="20" t="s">
        <v>494</v>
      </c>
      <c r="F13" s="4" t="s">
        <v>512</v>
      </c>
    </row>
    <row r="14" customFormat="false" ht="23.85" hidden="false" customHeight="false" outlineLevel="0" collapsed="false">
      <c r="A14" s="18" t="s">
        <v>192</v>
      </c>
      <c r="B14" s="4" t="s">
        <v>506</v>
      </c>
      <c r="C14" s="4" t="s">
        <v>513</v>
      </c>
      <c r="D14" s="21" t="s">
        <v>164</v>
      </c>
      <c r="E14" s="20" t="s">
        <v>494</v>
      </c>
      <c r="F14" s="13" t="s">
        <v>514</v>
      </c>
    </row>
    <row r="15" customFormat="false" ht="23.85" hidden="false" customHeight="false" outlineLevel="0" collapsed="false">
      <c r="A15" s="18" t="s">
        <v>198</v>
      </c>
      <c r="B15" s="4" t="s">
        <v>506</v>
      </c>
      <c r="C15" s="4" t="s">
        <v>515</v>
      </c>
      <c r="D15" s="19" t="s">
        <v>177</v>
      </c>
      <c r="E15" s="20" t="s">
        <v>494</v>
      </c>
      <c r="F15" s="4"/>
    </row>
    <row r="16" customFormat="false" ht="23.85" hidden="false" customHeight="false" outlineLevel="0" collapsed="false">
      <c r="A16" s="18" t="s">
        <v>216</v>
      </c>
      <c r="B16" s="4" t="s">
        <v>516</v>
      </c>
      <c r="C16" s="4" t="s">
        <v>517</v>
      </c>
      <c r="D16" s="21" t="s">
        <v>164</v>
      </c>
      <c r="E16" s="20" t="s">
        <v>494</v>
      </c>
      <c r="F16" s="4"/>
    </row>
    <row r="17" customFormat="false" ht="29.85" hidden="false" customHeight="false" outlineLevel="0" collapsed="false">
      <c r="A17" s="18" t="s">
        <v>219</v>
      </c>
      <c r="B17" s="4" t="s">
        <v>516</v>
      </c>
      <c r="C17" s="4" t="s">
        <v>518</v>
      </c>
      <c r="D17" s="21" t="s">
        <v>164</v>
      </c>
      <c r="E17" s="20" t="s">
        <v>494</v>
      </c>
      <c r="F17" s="4" t="s">
        <v>519</v>
      </c>
    </row>
    <row r="18" customFormat="false" ht="23.85" hidden="false" customHeight="false" outlineLevel="0" collapsed="false">
      <c r="A18" s="18" t="s">
        <v>520</v>
      </c>
      <c r="B18" s="4" t="s">
        <v>516</v>
      </c>
      <c r="C18" s="4" t="s">
        <v>521</v>
      </c>
      <c r="D18" s="19" t="s">
        <v>177</v>
      </c>
      <c r="E18" s="20" t="s">
        <v>494</v>
      </c>
      <c r="F18" s="4"/>
    </row>
    <row r="19" customFormat="false" ht="23.85" hidden="false" customHeight="false" outlineLevel="0" collapsed="false">
      <c r="A19" s="18" t="s">
        <v>522</v>
      </c>
      <c r="B19" s="4" t="s">
        <v>516</v>
      </c>
      <c r="C19" s="4" t="s">
        <v>523</v>
      </c>
      <c r="D19" s="21" t="s">
        <v>164</v>
      </c>
      <c r="E19" s="20" t="s">
        <v>494</v>
      </c>
      <c r="F19" s="4"/>
    </row>
    <row r="20" customFormat="false" ht="23.85" hidden="false" customHeight="false" outlineLevel="0" collapsed="false">
      <c r="A20" s="18" t="s">
        <v>225</v>
      </c>
      <c r="B20" s="4" t="s">
        <v>516</v>
      </c>
      <c r="C20" s="4" t="s">
        <v>524</v>
      </c>
      <c r="D20" s="21" t="s">
        <v>164</v>
      </c>
      <c r="E20" s="20" t="s">
        <v>494</v>
      </c>
      <c r="F20" s="4"/>
    </row>
    <row r="21" customFormat="false" ht="23.85" hidden="false" customHeight="false" outlineLevel="0" collapsed="false">
      <c r="A21" s="18" t="s">
        <v>525</v>
      </c>
      <c r="B21" s="4" t="s">
        <v>516</v>
      </c>
      <c r="C21" s="4" t="s">
        <v>526</v>
      </c>
      <c r="D21" s="21" t="s">
        <v>164</v>
      </c>
      <c r="E21" s="20" t="s">
        <v>494</v>
      </c>
      <c r="F21" s="4" t="s">
        <v>527</v>
      </c>
    </row>
    <row r="22" customFormat="false" ht="23.85" hidden="false" customHeight="false" outlineLevel="0" collapsed="false">
      <c r="A22" s="18" t="s">
        <v>231</v>
      </c>
      <c r="B22" s="4" t="s">
        <v>516</v>
      </c>
      <c r="C22" s="4" t="s">
        <v>528</v>
      </c>
      <c r="D22" s="19" t="s">
        <v>177</v>
      </c>
      <c r="E22" s="20" t="s">
        <v>494</v>
      </c>
      <c r="F22" s="4"/>
    </row>
    <row r="23" customFormat="false" ht="23.85" hidden="false" customHeight="false" outlineLevel="0" collapsed="false">
      <c r="A23" s="18" t="s">
        <v>234</v>
      </c>
      <c r="B23" s="4" t="s">
        <v>529</v>
      </c>
      <c r="C23" s="4" t="s">
        <v>530</v>
      </c>
      <c r="D23" s="21" t="s">
        <v>164</v>
      </c>
      <c r="E23" s="20" t="s">
        <v>494</v>
      </c>
      <c r="F23" s="4"/>
    </row>
    <row r="24" customFormat="false" ht="26.85" hidden="false" customHeight="false" outlineLevel="0" collapsed="false">
      <c r="A24" s="18" t="s">
        <v>531</v>
      </c>
      <c r="B24" s="4" t="s">
        <v>529</v>
      </c>
      <c r="C24" s="4" t="s">
        <v>532</v>
      </c>
      <c r="D24" s="21" t="s">
        <v>164</v>
      </c>
      <c r="E24" s="20" t="s">
        <v>494</v>
      </c>
      <c r="F24" s="4" t="s">
        <v>533</v>
      </c>
    </row>
    <row r="25" customFormat="false" ht="23.85" hidden="false" customHeight="false" outlineLevel="0" collapsed="false">
      <c r="A25" s="18" t="s">
        <v>534</v>
      </c>
      <c r="B25" s="4" t="s">
        <v>529</v>
      </c>
      <c r="C25" s="4" t="s">
        <v>535</v>
      </c>
      <c r="D25" s="19" t="s">
        <v>177</v>
      </c>
      <c r="E25" s="20" t="s">
        <v>494</v>
      </c>
      <c r="F25" s="4"/>
    </row>
    <row r="26" customFormat="false" ht="23.85" hidden="false" customHeight="false" outlineLevel="0" collapsed="false">
      <c r="A26" s="18" t="s">
        <v>240</v>
      </c>
      <c r="B26" s="4" t="s">
        <v>529</v>
      </c>
      <c r="C26" s="4" t="s">
        <v>536</v>
      </c>
      <c r="D26" s="21" t="s">
        <v>164</v>
      </c>
      <c r="E26" s="20" t="s">
        <v>494</v>
      </c>
      <c r="F26" s="4"/>
    </row>
    <row r="27" customFormat="false" ht="23.85" hidden="false" customHeight="false" outlineLevel="0" collapsed="false">
      <c r="A27" s="18" t="s">
        <v>243</v>
      </c>
      <c r="B27" s="4" t="s">
        <v>529</v>
      </c>
      <c r="C27" s="4" t="s">
        <v>537</v>
      </c>
      <c r="D27" s="19" t="s">
        <v>177</v>
      </c>
      <c r="E27" s="20" t="s">
        <v>494</v>
      </c>
      <c r="F27" s="4"/>
    </row>
    <row r="28" customFormat="false" ht="23.85" hidden="false" customHeight="false" outlineLevel="0" collapsed="false">
      <c r="A28" s="18" t="s">
        <v>246</v>
      </c>
      <c r="B28" s="4" t="s">
        <v>538</v>
      </c>
      <c r="C28" s="4" t="s">
        <v>539</v>
      </c>
      <c r="D28" s="21" t="s">
        <v>164</v>
      </c>
      <c r="E28" s="20" t="s">
        <v>494</v>
      </c>
      <c r="F28" s="4"/>
    </row>
    <row r="29" customFormat="false" ht="23.85" hidden="false" customHeight="false" outlineLevel="0" collapsed="false">
      <c r="A29" s="18" t="s">
        <v>249</v>
      </c>
      <c r="B29" s="4" t="s">
        <v>538</v>
      </c>
      <c r="C29" s="4" t="s">
        <v>540</v>
      </c>
      <c r="D29" s="21" t="s">
        <v>164</v>
      </c>
      <c r="E29" s="20" t="s">
        <v>494</v>
      </c>
      <c r="F29" s="4"/>
    </row>
    <row r="30" customFormat="false" ht="23.85" hidden="false" customHeight="false" outlineLevel="0" collapsed="false">
      <c r="A30" s="18" t="s">
        <v>252</v>
      </c>
      <c r="B30" s="4" t="s">
        <v>538</v>
      </c>
      <c r="C30" s="4" t="s">
        <v>541</v>
      </c>
      <c r="D30" s="21" t="s">
        <v>164</v>
      </c>
      <c r="E30" s="20" t="s">
        <v>494</v>
      </c>
      <c r="F30" s="4"/>
    </row>
    <row r="31" customFormat="false" ht="35.05" hidden="false" customHeight="false" outlineLevel="0" collapsed="false">
      <c r="A31" s="18" t="s">
        <v>255</v>
      </c>
      <c r="B31" s="4" t="s">
        <v>538</v>
      </c>
      <c r="C31" s="4" t="s">
        <v>542</v>
      </c>
      <c r="D31" s="21" t="s">
        <v>164</v>
      </c>
      <c r="E31" s="20" t="s">
        <v>494</v>
      </c>
      <c r="F31" s="4"/>
    </row>
    <row r="32" customFormat="false" ht="26.85" hidden="false" customHeight="false" outlineLevel="0" collapsed="false">
      <c r="A32" s="18" t="s">
        <v>261</v>
      </c>
      <c r="B32" s="4" t="s">
        <v>543</v>
      </c>
      <c r="C32" s="4" t="s">
        <v>544</v>
      </c>
      <c r="D32" s="21" t="s">
        <v>164</v>
      </c>
      <c r="E32" s="20" t="s">
        <v>494</v>
      </c>
      <c r="F32" s="4"/>
    </row>
    <row r="33" customFormat="false" ht="23.85" hidden="false" customHeight="false" outlineLevel="0" collapsed="false">
      <c r="A33" s="18" t="s">
        <v>267</v>
      </c>
      <c r="B33" s="4" t="s">
        <v>543</v>
      </c>
      <c r="C33" s="4" t="s">
        <v>545</v>
      </c>
      <c r="D33" s="21" t="s">
        <v>164</v>
      </c>
      <c r="E33" s="20" t="s">
        <v>494</v>
      </c>
      <c r="F33" s="4"/>
    </row>
    <row r="34" customFormat="false" ht="23.85" hidden="false" customHeight="false" outlineLevel="0" collapsed="false">
      <c r="A34" s="18" t="s">
        <v>270</v>
      </c>
      <c r="B34" s="4" t="s">
        <v>543</v>
      </c>
      <c r="C34" s="4" t="s">
        <v>546</v>
      </c>
      <c r="D34" s="19" t="s">
        <v>177</v>
      </c>
      <c r="E34" s="20" t="s">
        <v>494</v>
      </c>
      <c r="F34" s="4"/>
    </row>
    <row r="35" customFormat="false" ht="23.85" hidden="false" customHeight="false" outlineLevel="0" collapsed="false">
      <c r="A35" s="18" t="s">
        <v>273</v>
      </c>
      <c r="B35" s="4" t="s">
        <v>547</v>
      </c>
      <c r="C35" s="4" t="s">
        <v>548</v>
      </c>
      <c r="D35" s="19" t="s">
        <v>177</v>
      </c>
      <c r="E35" s="20" t="s">
        <v>494</v>
      </c>
      <c r="F35" s="4"/>
    </row>
    <row r="36" customFormat="false" ht="23.85" hidden="false" customHeight="false" outlineLevel="0" collapsed="false">
      <c r="A36" s="18" t="s">
        <v>549</v>
      </c>
      <c r="B36" s="4" t="s">
        <v>547</v>
      </c>
      <c r="C36" s="4" t="s">
        <v>550</v>
      </c>
      <c r="D36" s="21" t="s">
        <v>164</v>
      </c>
      <c r="E36" s="20" t="s">
        <v>494</v>
      </c>
      <c r="F36" s="4"/>
    </row>
    <row r="37" customFormat="false" ht="15" hidden="false" customHeight="false" outlineLevel="0" collapsed="false">
      <c r="A37" s="18" t="s">
        <v>551</v>
      </c>
      <c r="B37" s="4" t="s">
        <v>552</v>
      </c>
      <c r="C37" s="4" t="s">
        <v>553</v>
      </c>
      <c r="D37" s="21" t="s">
        <v>164</v>
      </c>
      <c r="E37" s="20" t="s">
        <v>494</v>
      </c>
      <c r="F37" s="4"/>
    </row>
    <row r="38" customFormat="false" ht="23.85" hidden="false" customHeight="false" outlineLevel="0" collapsed="false">
      <c r="A38" s="18" t="s">
        <v>554</v>
      </c>
      <c r="B38" s="4" t="s">
        <v>552</v>
      </c>
      <c r="C38" s="4" t="s">
        <v>555</v>
      </c>
      <c r="D38" s="21" t="s">
        <v>164</v>
      </c>
      <c r="E38" s="20" t="s">
        <v>494</v>
      </c>
      <c r="F38" s="4"/>
    </row>
    <row r="39" customFormat="false" ht="26.85" hidden="false" customHeight="false" outlineLevel="0" collapsed="false">
      <c r="A39" s="18" t="s">
        <v>201</v>
      </c>
      <c r="B39" s="4" t="s">
        <v>556</v>
      </c>
      <c r="C39" s="4" t="s">
        <v>557</v>
      </c>
      <c r="D39" s="21" t="s">
        <v>164</v>
      </c>
      <c r="E39" s="20" t="s">
        <v>494</v>
      </c>
      <c r="F39" s="4"/>
    </row>
    <row r="40" customFormat="false" ht="26.85" hidden="false" customHeight="false" outlineLevel="0" collapsed="false">
      <c r="A40" s="18" t="s">
        <v>204</v>
      </c>
      <c r="B40" s="4" t="s">
        <v>556</v>
      </c>
      <c r="C40" s="13" t="s">
        <v>558</v>
      </c>
      <c r="D40" s="21" t="s">
        <v>164</v>
      </c>
      <c r="E40" s="20" t="s">
        <v>494</v>
      </c>
      <c r="F40" s="4"/>
    </row>
    <row r="41" customFormat="false" ht="26.85" hidden="false" customHeight="false" outlineLevel="0" collapsed="false">
      <c r="A41" s="18" t="s">
        <v>207</v>
      </c>
      <c r="B41" s="4" t="s">
        <v>556</v>
      </c>
      <c r="C41" s="4" t="s">
        <v>559</v>
      </c>
      <c r="D41" s="21" t="s">
        <v>164</v>
      </c>
      <c r="E41" s="20" t="s">
        <v>494</v>
      </c>
      <c r="F41" s="4"/>
    </row>
    <row r="42" customFormat="false" ht="23.85" hidden="false" customHeight="false" outlineLevel="0" collapsed="false">
      <c r="A42" s="18" t="s">
        <v>560</v>
      </c>
      <c r="B42" s="4" t="s">
        <v>556</v>
      </c>
      <c r="C42" s="4" t="s">
        <v>561</v>
      </c>
      <c r="D42" s="21" t="s">
        <v>164</v>
      </c>
      <c r="E42" s="20" t="s">
        <v>494</v>
      </c>
      <c r="F42" s="4"/>
    </row>
    <row r="43" customFormat="false" ht="23.85" hidden="false" customHeight="false" outlineLevel="0" collapsed="false">
      <c r="A43" s="18" t="s">
        <v>213</v>
      </c>
      <c r="B43" s="4" t="s">
        <v>556</v>
      </c>
      <c r="C43" s="4" t="s">
        <v>562</v>
      </c>
      <c r="D43" s="21" t="s">
        <v>164</v>
      </c>
      <c r="E43" s="20" t="s">
        <v>494</v>
      </c>
      <c r="F43" s="4"/>
    </row>
    <row r="44" customFormat="false" ht="26.85" hidden="false" customHeight="false" outlineLevel="0" collapsed="false">
      <c r="A44" s="18" t="s">
        <v>563</v>
      </c>
      <c r="B44" s="4" t="s">
        <v>564</v>
      </c>
      <c r="C44" s="4" t="s">
        <v>565</v>
      </c>
      <c r="D44" s="21" t="s">
        <v>164</v>
      </c>
      <c r="E44" s="20" t="s">
        <v>494</v>
      </c>
      <c r="F44" s="4"/>
    </row>
    <row r="45" customFormat="false" ht="23.85" hidden="false" customHeight="false" outlineLevel="0" collapsed="false">
      <c r="A45" s="18" t="s">
        <v>258</v>
      </c>
      <c r="B45" s="4" t="s">
        <v>566</v>
      </c>
      <c r="C45" s="4" t="s">
        <v>567</v>
      </c>
      <c r="D45" s="21" t="s">
        <v>164</v>
      </c>
      <c r="E45" s="20" t="s">
        <v>494</v>
      </c>
      <c r="F45" s="4"/>
    </row>
    <row r="46" customFormat="false" ht="26.85" hidden="false" customHeight="false" outlineLevel="0" collapsed="false">
      <c r="A46" s="18" t="s">
        <v>568</v>
      </c>
      <c r="B46" s="4" t="s">
        <v>569</v>
      </c>
      <c r="C46" s="4" t="s">
        <v>570</v>
      </c>
      <c r="D46" s="21" t="s">
        <v>164</v>
      </c>
      <c r="E46" s="20" t="s">
        <v>494</v>
      </c>
      <c r="F46" s="4"/>
    </row>
    <row r="47" customFormat="false" ht="23.85" hidden="false" customHeight="false" outlineLevel="0" collapsed="false">
      <c r="A47" s="18" t="s">
        <v>571</v>
      </c>
      <c r="B47" s="4" t="s">
        <v>569</v>
      </c>
      <c r="C47" s="4" t="s">
        <v>572</v>
      </c>
      <c r="D47" s="21" t="s">
        <v>164</v>
      </c>
      <c r="E47" s="20" t="s">
        <v>494</v>
      </c>
      <c r="F47" s="4"/>
    </row>
    <row r="48" customFormat="false" ht="23.85" hidden="false" customHeight="false" outlineLevel="0" collapsed="false">
      <c r="A48" s="18" t="s">
        <v>573</v>
      </c>
      <c r="B48" s="4" t="s">
        <v>569</v>
      </c>
      <c r="C48" s="4" t="s">
        <v>574</v>
      </c>
      <c r="D48" s="19" t="s">
        <v>177</v>
      </c>
      <c r="E48" s="20" t="s">
        <v>494</v>
      </c>
      <c r="F48" s="4"/>
    </row>
    <row r="49" customFormat="false" ht="23.85" hidden="false" customHeight="false" outlineLevel="0" collapsed="false">
      <c r="A49" s="18" t="s">
        <v>575</v>
      </c>
      <c r="B49" s="4" t="s">
        <v>576</v>
      </c>
      <c r="C49" s="4" t="s">
        <v>577</v>
      </c>
      <c r="D49" s="21" t="s">
        <v>164</v>
      </c>
      <c r="E49" s="20" t="s">
        <v>494</v>
      </c>
      <c r="F49" s="4" t="s">
        <v>578</v>
      </c>
    </row>
    <row r="50" customFormat="false" ht="23.85" hidden="false" customHeight="false" outlineLevel="0" collapsed="false">
      <c r="A50" s="18" t="s">
        <v>579</v>
      </c>
      <c r="B50" s="4" t="s">
        <v>576</v>
      </c>
      <c r="C50" s="4" t="s">
        <v>580</v>
      </c>
      <c r="D50" s="21" t="s">
        <v>164</v>
      </c>
      <c r="E50" s="20" t="s">
        <v>494</v>
      </c>
      <c r="F50" s="4"/>
    </row>
    <row r="51" customFormat="false" ht="15" hidden="false" customHeight="false" outlineLevel="0" collapsed="false">
      <c r="A51" s="18" t="s">
        <v>581</v>
      </c>
      <c r="B51" s="4" t="s">
        <v>582</v>
      </c>
      <c r="C51" s="4" t="s">
        <v>583</v>
      </c>
      <c r="D51" s="21" t="s">
        <v>164</v>
      </c>
      <c r="E51" s="20" t="s">
        <v>494</v>
      </c>
      <c r="F51" s="4"/>
    </row>
    <row r="52" customFormat="false" ht="15" hidden="false" customHeight="false" outlineLevel="0" collapsed="false">
      <c r="A52" s="18" t="s">
        <v>584</v>
      </c>
      <c r="B52" s="4" t="s">
        <v>582</v>
      </c>
      <c r="C52" s="4" t="s">
        <v>585</v>
      </c>
      <c r="D52" s="21" t="s">
        <v>164</v>
      </c>
      <c r="E52" s="20" t="s">
        <v>494</v>
      </c>
      <c r="F52" s="4"/>
    </row>
    <row r="53" customFormat="false" ht="15" hidden="false" customHeight="false" outlineLevel="0" collapsed="false">
      <c r="A53" s="18" t="s">
        <v>586</v>
      </c>
      <c r="B53" s="4" t="s">
        <v>582</v>
      </c>
      <c r="C53" s="4" t="s">
        <v>587</v>
      </c>
      <c r="D53" s="21" t="s">
        <v>164</v>
      </c>
      <c r="E53" s="20" t="s">
        <v>494</v>
      </c>
      <c r="F53" s="4"/>
    </row>
    <row r="54" customFormat="false" ht="15" hidden="false" customHeight="false" outlineLevel="0" collapsed="false">
      <c r="A54" s="18" t="s">
        <v>588</v>
      </c>
      <c r="B54" s="4" t="s">
        <v>589</v>
      </c>
      <c r="C54" s="4" t="s">
        <v>590</v>
      </c>
      <c r="D54" s="21" t="s">
        <v>164</v>
      </c>
      <c r="E54" s="20" t="s">
        <v>494</v>
      </c>
      <c r="F54" s="4"/>
    </row>
    <row r="55" customFormat="false" ht="15" hidden="false" customHeight="false" outlineLevel="0" collapsed="false">
      <c r="A55" s="18" t="s">
        <v>591</v>
      </c>
      <c r="B55" s="4" t="s">
        <v>592</v>
      </c>
      <c r="C55" s="4" t="s">
        <v>593</v>
      </c>
      <c r="D55" s="21" t="s">
        <v>164</v>
      </c>
      <c r="E55" s="20" t="s">
        <v>494</v>
      </c>
      <c r="F55" s="4" t="s">
        <v>594</v>
      </c>
    </row>
    <row r="56" customFormat="false" ht="15" hidden="false" customHeight="false" outlineLevel="0" collapsed="false">
      <c r="A56" s="18" t="s">
        <v>173</v>
      </c>
      <c r="B56" s="4" t="s">
        <v>592</v>
      </c>
      <c r="C56" s="4" t="s">
        <v>595</v>
      </c>
      <c r="D56" s="21" t="s">
        <v>164</v>
      </c>
      <c r="E56" s="20" t="s">
        <v>494</v>
      </c>
      <c r="F56" s="4"/>
    </row>
    <row r="57" customFormat="false" ht="23.85" hidden="false" customHeight="false" outlineLevel="0" collapsed="false">
      <c r="A57" s="18" t="s">
        <v>596</v>
      </c>
      <c r="B57" s="4" t="s">
        <v>592</v>
      </c>
      <c r="C57" s="4" t="s">
        <v>597</v>
      </c>
      <c r="D57" s="21" t="s">
        <v>164</v>
      </c>
      <c r="E57" s="20" t="s">
        <v>494</v>
      </c>
      <c r="F57" s="4"/>
    </row>
    <row r="58" customFormat="false" ht="15" hidden="false" customHeight="false" outlineLevel="0" collapsed="false">
      <c r="A58" s="18" t="s">
        <v>598</v>
      </c>
      <c r="B58" s="4" t="s">
        <v>599</v>
      </c>
      <c r="C58" s="4" t="s">
        <v>600</v>
      </c>
      <c r="D58" s="21" t="s">
        <v>164</v>
      </c>
      <c r="E58" s="20" t="s">
        <v>494</v>
      </c>
      <c r="F58" s="4"/>
    </row>
    <row r="59" customFormat="false" ht="15" hidden="false" customHeight="false" outlineLevel="0" collapsed="false">
      <c r="A59" s="18" t="s">
        <v>601</v>
      </c>
      <c r="B59" s="4" t="s">
        <v>602</v>
      </c>
      <c r="C59" s="4" t="s">
        <v>603</v>
      </c>
      <c r="D59" s="21" t="s">
        <v>164</v>
      </c>
      <c r="E59" s="20" t="s">
        <v>494</v>
      </c>
      <c r="F59" s="4"/>
    </row>
    <row r="60" customFormat="false" ht="15" hidden="false" customHeight="false" outlineLevel="0" collapsed="false">
      <c r="A60" s="18" t="s">
        <v>604</v>
      </c>
      <c r="B60" s="4" t="s">
        <v>605</v>
      </c>
      <c r="C60" s="4" t="s">
        <v>606</v>
      </c>
      <c r="D60" s="19" t="s">
        <v>177</v>
      </c>
      <c r="E60" s="20" t="s">
        <v>494</v>
      </c>
      <c r="F60" s="4" t="s">
        <v>607</v>
      </c>
    </row>
    <row r="61" customFormat="false" ht="23.85" hidden="false" customHeight="false" outlineLevel="0" collapsed="false">
      <c r="A61" s="18" t="s">
        <v>170</v>
      </c>
      <c r="B61" s="4" t="s">
        <v>608</v>
      </c>
      <c r="C61" s="4" t="s">
        <v>609</v>
      </c>
      <c r="D61" s="21" t="s">
        <v>164</v>
      </c>
      <c r="E61" s="20" t="s">
        <v>494</v>
      </c>
      <c r="F61" s="4"/>
    </row>
    <row r="62" customFormat="false" ht="26.85" hidden="false" customHeight="false" outlineLevel="0" collapsed="false">
      <c r="A62" s="18" t="s">
        <v>610</v>
      </c>
      <c r="B62" s="4" t="s">
        <v>608</v>
      </c>
      <c r="C62" s="4" t="s">
        <v>611</v>
      </c>
      <c r="D62" s="21" t="s">
        <v>164</v>
      </c>
      <c r="E62" s="20" t="s">
        <v>494</v>
      </c>
      <c r="F62" s="4"/>
    </row>
    <row r="63" customFormat="false" ht="15" hidden="false" customHeight="false" outlineLevel="0" collapsed="false">
      <c r="A63" s="18" t="s">
        <v>612</v>
      </c>
      <c r="B63" s="4" t="s">
        <v>608</v>
      </c>
      <c r="C63" s="4" t="s">
        <v>613</v>
      </c>
      <c r="D63" s="21" t="s">
        <v>164</v>
      </c>
      <c r="E63" s="20" t="s">
        <v>494</v>
      </c>
      <c r="F63" s="4"/>
    </row>
    <row r="64" customFormat="false" ht="15" hidden="false" customHeight="false" outlineLevel="0" collapsed="false">
      <c r="A64" s="18" t="s">
        <v>614</v>
      </c>
      <c r="B64" s="4" t="s">
        <v>608</v>
      </c>
      <c r="C64" s="4" t="s">
        <v>615</v>
      </c>
      <c r="D64" s="21" t="s">
        <v>164</v>
      </c>
      <c r="E64" s="20" t="s">
        <v>494</v>
      </c>
      <c r="F64" s="4"/>
    </row>
    <row r="65" customFormat="false" ht="15" hidden="false" customHeight="false" outlineLevel="0" collapsed="false">
      <c r="A65" s="18" t="s">
        <v>616</v>
      </c>
      <c r="B65" s="4" t="s">
        <v>608</v>
      </c>
      <c r="C65" s="4" t="s">
        <v>617</v>
      </c>
      <c r="D65" s="21" t="s">
        <v>164</v>
      </c>
      <c r="E65" s="20" t="s">
        <v>494</v>
      </c>
      <c r="F65" s="4"/>
    </row>
    <row r="66" customFormat="false" ht="15" hidden="false" customHeight="false" outlineLevel="0" collapsed="false">
      <c r="A66" s="18" t="s">
        <v>618</v>
      </c>
      <c r="B66" s="4" t="s">
        <v>608</v>
      </c>
      <c r="C66" s="4" t="s">
        <v>619</v>
      </c>
      <c r="D66" s="21" t="s">
        <v>164</v>
      </c>
      <c r="E66" s="20" t="s">
        <v>494</v>
      </c>
      <c r="F66" s="4"/>
    </row>
    <row r="67" customFormat="false" ht="15" hidden="false" customHeight="false" outlineLevel="0" collapsed="false">
      <c r="A67" s="18" t="s">
        <v>620</v>
      </c>
      <c r="B67" s="4" t="s">
        <v>608</v>
      </c>
      <c r="C67" s="13" t="s">
        <v>621</v>
      </c>
      <c r="D67" s="21" t="s">
        <v>164</v>
      </c>
      <c r="E67" s="20" t="s">
        <v>494</v>
      </c>
      <c r="F67" s="4"/>
    </row>
    <row r="68" customFormat="false" ht="15" hidden="false" customHeight="false" outlineLevel="0" collapsed="false">
      <c r="A68" s="18" t="s">
        <v>622</v>
      </c>
      <c r="B68" s="4" t="s">
        <v>608</v>
      </c>
      <c r="C68" s="4" t="s">
        <v>623</v>
      </c>
      <c r="D68" s="21" t="s">
        <v>164</v>
      </c>
      <c r="E68" s="20" t="s">
        <v>494</v>
      </c>
      <c r="F68" s="4"/>
    </row>
    <row r="69" customFormat="false" ht="23.85" hidden="false" customHeight="false" outlineLevel="0" collapsed="false">
      <c r="A69" s="18" t="s">
        <v>624</v>
      </c>
      <c r="B69" s="4" t="s">
        <v>608</v>
      </c>
      <c r="C69" s="4" t="s">
        <v>625</v>
      </c>
      <c r="D69" s="21" t="s">
        <v>164</v>
      </c>
      <c r="E69" s="20" t="s">
        <v>494</v>
      </c>
      <c r="F69" s="4"/>
    </row>
    <row r="70" customFormat="false" ht="15" hidden="false" customHeight="false" outlineLevel="0" collapsed="false">
      <c r="A70" s="18" t="s">
        <v>626</v>
      </c>
      <c r="B70" s="4" t="s">
        <v>608</v>
      </c>
      <c r="C70" s="4" t="s">
        <v>627</v>
      </c>
      <c r="D70" s="21" t="s">
        <v>164</v>
      </c>
      <c r="E70" s="20" t="s">
        <v>494</v>
      </c>
      <c r="F70" s="4"/>
    </row>
    <row r="71" customFormat="false" ht="23.85" hidden="false" customHeight="false" outlineLevel="0" collapsed="false">
      <c r="A71" s="18" t="s">
        <v>281</v>
      </c>
      <c r="B71" s="4" t="s">
        <v>628</v>
      </c>
      <c r="C71" s="4" t="s">
        <v>629</v>
      </c>
      <c r="D71" s="21" t="s">
        <v>164</v>
      </c>
      <c r="E71" s="12" t="s">
        <v>630</v>
      </c>
      <c r="F71" s="4" t="s">
        <v>631</v>
      </c>
    </row>
    <row r="72" customFormat="false" ht="23.85" hidden="false" customHeight="false" outlineLevel="0" collapsed="false">
      <c r="A72" s="18" t="s">
        <v>632</v>
      </c>
      <c r="B72" s="4" t="s">
        <v>628</v>
      </c>
      <c r="C72" s="4" t="s">
        <v>633</v>
      </c>
      <c r="D72" s="21" t="s">
        <v>164</v>
      </c>
      <c r="E72" s="20" t="s">
        <v>494</v>
      </c>
      <c r="F72" s="4"/>
    </row>
    <row r="73" customFormat="false" ht="23.85" hidden="false" customHeight="false" outlineLevel="0" collapsed="false">
      <c r="A73" s="18" t="s">
        <v>284</v>
      </c>
      <c r="B73" s="4" t="s">
        <v>628</v>
      </c>
      <c r="C73" s="4" t="s">
        <v>634</v>
      </c>
      <c r="D73" s="21" t="s">
        <v>164</v>
      </c>
      <c r="E73" s="12" t="s">
        <v>630</v>
      </c>
      <c r="F73" s="4" t="s">
        <v>635</v>
      </c>
    </row>
    <row r="74" customFormat="false" ht="15" hidden="false" customHeight="false" outlineLevel="0" collapsed="false">
      <c r="A74" s="18" t="s">
        <v>636</v>
      </c>
      <c r="B74" s="4" t="s">
        <v>628</v>
      </c>
      <c r="C74" s="4" t="s">
        <v>637</v>
      </c>
      <c r="D74" s="21" t="s">
        <v>164</v>
      </c>
      <c r="E74" s="12" t="s">
        <v>630</v>
      </c>
      <c r="F74" s="4" t="s">
        <v>638</v>
      </c>
    </row>
    <row r="75" customFormat="false" ht="23.85" hidden="false" customHeight="false" outlineLevel="0" collapsed="false">
      <c r="A75" s="18" t="s">
        <v>639</v>
      </c>
      <c r="B75" s="4" t="s">
        <v>628</v>
      </c>
      <c r="C75" s="4" t="s">
        <v>640</v>
      </c>
      <c r="D75" s="21" t="s">
        <v>164</v>
      </c>
      <c r="E75" s="20" t="s">
        <v>494</v>
      </c>
      <c r="F75" s="4"/>
    </row>
    <row r="76" customFormat="false" ht="23.85" hidden="false" customHeight="false" outlineLevel="0" collapsed="false">
      <c r="A76" s="18" t="s">
        <v>641</v>
      </c>
      <c r="B76" s="4" t="s">
        <v>628</v>
      </c>
      <c r="C76" s="4" t="s">
        <v>642</v>
      </c>
      <c r="D76" s="21" t="s">
        <v>164</v>
      </c>
      <c r="E76" s="20" t="s">
        <v>494</v>
      </c>
      <c r="F76" s="4"/>
    </row>
    <row r="77" customFormat="false" ht="23.85" hidden="false" customHeight="false" outlineLevel="0" collapsed="false">
      <c r="A77" s="18" t="s">
        <v>643</v>
      </c>
      <c r="B77" s="4" t="s">
        <v>644</v>
      </c>
      <c r="C77" s="4" t="s">
        <v>645</v>
      </c>
      <c r="D77" s="21" t="s">
        <v>164</v>
      </c>
      <c r="E77" s="20" t="s">
        <v>494</v>
      </c>
      <c r="F77" s="4"/>
    </row>
    <row r="78" customFormat="false" ht="15" hidden="false" customHeight="false" outlineLevel="0" collapsed="false">
      <c r="A78" s="18" t="s">
        <v>646</v>
      </c>
      <c r="B78" s="4" t="s">
        <v>644</v>
      </c>
      <c r="C78" s="4" t="s">
        <v>647</v>
      </c>
      <c r="D78" s="21" t="s">
        <v>164</v>
      </c>
      <c r="E78" s="20" t="s">
        <v>494</v>
      </c>
      <c r="F78" s="4"/>
    </row>
    <row r="79" customFormat="false" ht="15" hidden="false" customHeight="false" outlineLevel="0" collapsed="false">
      <c r="A79" s="18" t="s">
        <v>648</v>
      </c>
      <c r="B79" s="4" t="s">
        <v>644</v>
      </c>
      <c r="C79" s="4" t="s">
        <v>649</v>
      </c>
      <c r="D79" s="21" t="s">
        <v>164</v>
      </c>
      <c r="E79" s="20" t="s">
        <v>494</v>
      </c>
      <c r="F79" s="4"/>
    </row>
    <row r="80" customFormat="false" ht="15" hidden="false" customHeight="false" outlineLevel="0" collapsed="false">
      <c r="A80" s="18" t="s">
        <v>650</v>
      </c>
      <c r="B80" s="4" t="s">
        <v>644</v>
      </c>
      <c r="C80" s="4" t="s">
        <v>651</v>
      </c>
      <c r="D80" s="21" t="s">
        <v>164</v>
      </c>
      <c r="E80" s="20" t="s">
        <v>494</v>
      </c>
      <c r="F80" s="4"/>
    </row>
    <row r="81" customFormat="false" ht="15" hidden="false" customHeight="false" outlineLevel="0" collapsed="false">
      <c r="A81" s="18" t="s">
        <v>652</v>
      </c>
      <c r="B81" s="4" t="s">
        <v>644</v>
      </c>
      <c r="C81" s="4" t="s">
        <v>653</v>
      </c>
      <c r="D81" s="21" t="s">
        <v>164</v>
      </c>
      <c r="E81" s="20" t="s">
        <v>494</v>
      </c>
      <c r="F81" s="4"/>
    </row>
    <row r="82" customFormat="false" ht="15" hidden="false" customHeight="false" outlineLevel="0" collapsed="false">
      <c r="A82" s="18" t="s">
        <v>654</v>
      </c>
      <c r="B82" s="4" t="s">
        <v>644</v>
      </c>
      <c r="C82" s="4" t="s">
        <v>655</v>
      </c>
      <c r="D82" s="21" t="s">
        <v>164</v>
      </c>
      <c r="E82" s="20" t="s">
        <v>494</v>
      </c>
      <c r="F82" s="4"/>
    </row>
    <row r="83" customFormat="false" ht="15" hidden="false" customHeight="false" outlineLevel="0" collapsed="false">
      <c r="A83" s="18" t="s">
        <v>656</v>
      </c>
      <c r="B83" s="4" t="s">
        <v>644</v>
      </c>
      <c r="C83" s="4" t="s">
        <v>657</v>
      </c>
      <c r="D83" s="21" t="s">
        <v>164</v>
      </c>
      <c r="E83" s="20" t="s">
        <v>494</v>
      </c>
      <c r="F83" s="4"/>
    </row>
    <row r="84" customFormat="false" ht="15" hidden="false" customHeight="false" outlineLevel="0" collapsed="false">
      <c r="A84" s="18" t="s">
        <v>302</v>
      </c>
      <c r="B84" s="4" t="s">
        <v>644</v>
      </c>
      <c r="C84" s="4" t="s">
        <v>658</v>
      </c>
      <c r="D84" s="21" t="s">
        <v>164</v>
      </c>
      <c r="E84" s="20" t="s">
        <v>494</v>
      </c>
      <c r="F84" s="4"/>
    </row>
    <row r="85" customFormat="false" ht="23.85" hidden="false" customHeight="false" outlineLevel="0" collapsed="false">
      <c r="A85" s="18" t="s">
        <v>659</v>
      </c>
      <c r="B85" s="4" t="s">
        <v>660</v>
      </c>
      <c r="C85" s="4" t="s">
        <v>661</v>
      </c>
      <c r="D85" s="21" t="s">
        <v>164</v>
      </c>
      <c r="E85" s="20" t="s">
        <v>494</v>
      </c>
      <c r="F85" s="4"/>
    </row>
    <row r="86" customFormat="false" ht="23.85" hidden="false" customHeight="false" outlineLevel="0" collapsed="false">
      <c r="A86" s="18" t="s">
        <v>662</v>
      </c>
      <c r="B86" s="4" t="s">
        <v>660</v>
      </c>
      <c r="C86" s="4" t="s">
        <v>663</v>
      </c>
      <c r="D86" s="21" t="s">
        <v>164</v>
      </c>
      <c r="E86" s="20" t="s">
        <v>494</v>
      </c>
      <c r="F86" s="4"/>
    </row>
    <row r="87" customFormat="false" ht="15" hidden="false" customHeight="false" outlineLevel="0" collapsed="false">
      <c r="A87" s="18" t="s">
        <v>664</v>
      </c>
      <c r="B87" s="4" t="s">
        <v>660</v>
      </c>
      <c r="C87" s="4" t="s">
        <v>665</v>
      </c>
      <c r="D87" s="21" t="s">
        <v>164</v>
      </c>
      <c r="E87" s="20" t="s">
        <v>494</v>
      </c>
      <c r="F87" s="4"/>
    </row>
    <row r="88" customFormat="false" ht="23.85" hidden="false" customHeight="false" outlineLevel="0" collapsed="false">
      <c r="A88" s="18" t="s">
        <v>666</v>
      </c>
      <c r="B88" s="4" t="s">
        <v>660</v>
      </c>
      <c r="C88" s="4" t="s">
        <v>667</v>
      </c>
      <c r="D88" s="21" t="s">
        <v>164</v>
      </c>
      <c r="E88" s="20" t="s">
        <v>494</v>
      </c>
      <c r="F88" s="4"/>
    </row>
    <row r="89" customFormat="false" ht="23.85" hidden="false" customHeight="false" outlineLevel="0" collapsed="false">
      <c r="A89" s="18" t="s">
        <v>668</v>
      </c>
      <c r="B89" s="4" t="s">
        <v>660</v>
      </c>
      <c r="C89" s="4" t="s">
        <v>669</v>
      </c>
      <c r="D89" s="21" t="s">
        <v>164</v>
      </c>
      <c r="E89" s="20" t="s">
        <v>494</v>
      </c>
      <c r="F89" s="4"/>
    </row>
    <row r="90" customFormat="false" ht="15" hidden="false" customHeight="false" outlineLevel="0" collapsed="false">
      <c r="A90" s="18" t="s">
        <v>670</v>
      </c>
      <c r="B90" s="4" t="s">
        <v>660</v>
      </c>
      <c r="C90" s="4" t="s">
        <v>671</v>
      </c>
      <c r="D90" s="21" t="s">
        <v>164</v>
      </c>
      <c r="E90" s="20" t="s">
        <v>494</v>
      </c>
      <c r="F90" s="4"/>
    </row>
    <row r="91" customFormat="false" ht="15" hidden="false" customHeight="false" outlineLevel="0" collapsed="false">
      <c r="A91" s="18" t="s">
        <v>672</v>
      </c>
      <c r="B91" s="4" t="s">
        <v>660</v>
      </c>
      <c r="C91" s="4" t="s">
        <v>673</v>
      </c>
      <c r="D91" s="21" t="s">
        <v>164</v>
      </c>
      <c r="E91" s="20" t="s">
        <v>494</v>
      </c>
      <c r="F91" s="4"/>
    </row>
    <row r="92" customFormat="false" ht="15" hidden="false" customHeight="false" outlineLevel="0" collapsed="false">
      <c r="A92" s="18" t="s">
        <v>674</v>
      </c>
      <c r="B92" s="4" t="s">
        <v>675</v>
      </c>
      <c r="C92" s="4" t="s">
        <v>676</v>
      </c>
      <c r="D92" s="21" t="s">
        <v>164</v>
      </c>
      <c r="E92" s="20" t="s">
        <v>494</v>
      </c>
      <c r="F92" s="4"/>
    </row>
    <row r="93" customFormat="false" ht="23.85" hidden="false" customHeight="false" outlineLevel="0" collapsed="false">
      <c r="A93" s="18" t="s">
        <v>677</v>
      </c>
      <c r="B93" s="4" t="s">
        <v>675</v>
      </c>
      <c r="C93" s="4" t="s">
        <v>678</v>
      </c>
      <c r="D93" s="21" t="s">
        <v>164</v>
      </c>
      <c r="E93" s="20" t="s">
        <v>494</v>
      </c>
      <c r="F93" s="4"/>
    </row>
    <row r="95" customFormat="false" ht="15" hidden="false" customHeight="false" outlineLevel="0" collapsed="false">
      <c r="A95" s="22" t="s">
        <v>679</v>
      </c>
      <c r="B95" s="22" t="s">
        <v>680</v>
      </c>
      <c r="C95" s="22" t="s">
        <v>681</v>
      </c>
      <c r="D95" s="22"/>
      <c r="E95" s="22"/>
      <c r="F95" s="22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3"/>
  </cols>
  <sheetData>
    <row r="1" customFormat="false" ht="25.5" hidden="false" customHeight="true" outlineLevel="0" collapsed="false">
      <c r="A1" s="1" t="s">
        <v>682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683</v>
      </c>
      <c r="B2" s="2"/>
      <c r="C2" s="2"/>
      <c r="D2" s="2"/>
      <c r="E2" s="2"/>
    </row>
    <row r="4" customFormat="false" ht="64.9" hidden="false" customHeight="false" outlineLevel="0" collapsed="false">
      <c r="A4" s="22" t="s">
        <v>684</v>
      </c>
      <c r="B4" s="23"/>
      <c r="C4" s="23"/>
      <c r="D4" s="23"/>
      <c r="E4" s="23"/>
    </row>
    <row r="5" customFormat="false" ht="15" hidden="false" customHeight="false" outlineLevel="0" collapsed="false">
      <c r="A5" s="3" t="s">
        <v>308</v>
      </c>
      <c r="B5" s="3" t="s">
        <v>685</v>
      </c>
      <c r="C5" s="3" t="s">
        <v>686</v>
      </c>
      <c r="D5" s="3" t="s">
        <v>687</v>
      </c>
      <c r="E5" s="3" t="s">
        <v>688</v>
      </c>
    </row>
    <row r="6" customFormat="false" ht="15" hidden="false" customHeight="false" outlineLevel="0" collapsed="false">
      <c r="A6" s="4" t="s">
        <v>313</v>
      </c>
      <c r="B6" s="4" t="s">
        <v>689</v>
      </c>
      <c r="C6" s="24" t="n">
        <v>2.5</v>
      </c>
      <c r="D6" s="15" t="n">
        <f aca="false">COUNTIF('04_Man hinh'!$F:$F,"S")</f>
        <v>2</v>
      </c>
      <c r="E6" s="4" t="n">
        <f aca="false">C6*D6</f>
        <v>5</v>
      </c>
    </row>
    <row r="7" customFormat="false" ht="15" hidden="false" customHeight="false" outlineLevel="0" collapsed="false">
      <c r="A7" s="4" t="s">
        <v>322</v>
      </c>
      <c r="B7" s="4" t="s">
        <v>690</v>
      </c>
      <c r="C7" s="24" t="n">
        <v>4.5</v>
      </c>
      <c r="D7" s="15" t="n">
        <f aca="false">COUNTIF('04_Man hinh'!$F:$F,"M")</f>
        <v>25</v>
      </c>
      <c r="E7" s="4" t="n">
        <f aca="false">C7*D7</f>
        <v>112.5</v>
      </c>
    </row>
    <row r="8" customFormat="false" ht="15" hidden="false" customHeight="false" outlineLevel="0" collapsed="false">
      <c r="A8" s="4" t="s">
        <v>318</v>
      </c>
      <c r="B8" s="4" t="s">
        <v>691</v>
      </c>
      <c r="C8" s="24" t="n">
        <v>9</v>
      </c>
      <c r="D8" s="15" t="n">
        <f aca="false">COUNTIF('04_Man hinh'!$F:$F,"C")</f>
        <v>14</v>
      </c>
      <c r="E8" s="4" t="n">
        <f aca="false">C8*D8</f>
        <v>126</v>
      </c>
    </row>
    <row r="9" customFormat="false" ht="15" hidden="false" customHeight="false" outlineLevel="0" collapsed="false">
      <c r="A9" s="25"/>
      <c r="B9" s="25" t="s">
        <v>692</v>
      </c>
      <c r="C9" s="25"/>
      <c r="D9" s="25"/>
      <c r="E9" s="26" t="n">
        <f aca="false">SUM(E6:E8)</f>
        <v>243.5</v>
      </c>
    </row>
    <row r="11" customFormat="false" ht="39.55" hidden="false" customHeight="false" outlineLevel="0" collapsed="false">
      <c r="A11" s="22" t="s">
        <v>693</v>
      </c>
      <c r="B11" s="23"/>
      <c r="C11" s="23"/>
      <c r="D11" s="23"/>
      <c r="E11" s="23"/>
    </row>
    <row r="12" customFormat="false" ht="15" hidden="false" customHeight="false" outlineLevel="0" collapsed="false">
      <c r="A12" s="3" t="s">
        <v>57</v>
      </c>
      <c r="B12" s="3" t="s">
        <v>694</v>
      </c>
      <c r="C12" s="3" t="s">
        <v>157</v>
      </c>
      <c r="D12" s="3"/>
      <c r="E12" s="3" t="s">
        <v>695</v>
      </c>
    </row>
    <row r="13" customFormat="false" ht="15" hidden="false" customHeight="false" outlineLevel="0" collapsed="false">
      <c r="A13" s="4" t="s">
        <v>696</v>
      </c>
      <c r="B13" s="4" t="s">
        <v>697</v>
      </c>
      <c r="C13" s="4" t="s">
        <v>131</v>
      </c>
      <c r="D13" s="4"/>
      <c r="E13" s="15" t="n">
        <v>22</v>
      </c>
    </row>
    <row r="14" customFormat="false" ht="15" hidden="false" customHeight="false" outlineLevel="0" collapsed="false">
      <c r="A14" s="4" t="s">
        <v>698</v>
      </c>
      <c r="B14" s="4" t="s">
        <v>699</v>
      </c>
      <c r="C14" s="4" t="s">
        <v>128</v>
      </c>
      <c r="D14" s="4"/>
      <c r="E14" s="15" t="n">
        <v>12</v>
      </c>
    </row>
    <row r="15" customFormat="false" ht="15" hidden="false" customHeight="false" outlineLevel="0" collapsed="false">
      <c r="A15" s="4" t="s">
        <v>700</v>
      </c>
      <c r="B15" s="4" t="s">
        <v>701</v>
      </c>
      <c r="C15" s="4" t="s">
        <v>128</v>
      </c>
      <c r="D15" s="4"/>
      <c r="E15" s="15" t="n">
        <v>8</v>
      </c>
    </row>
    <row r="16" customFormat="false" ht="15" hidden="false" customHeight="false" outlineLevel="0" collapsed="false">
      <c r="A16" s="4" t="s">
        <v>702</v>
      </c>
      <c r="B16" s="4" t="s">
        <v>703</v>
      </c>
      <c r="C16" s="4" t="s">
        <v>134</v>
      </c>
      <c r="D16" s="4"/>
      <c r="E16" s="15" t="n">
        <v>18</v>
      </c>
    </row>
    <row r="17" customFormat="false" ht="23.85" hidden="false" customHeight="false" outlineLevel="0" collapsed="false">
      <c r="A17" s="4" t="s">
        <v>704</v>
      </c>
      <c r="B17" s="4" t="s">
        <v>705</v>
      </c>
      <c r="C17" s="4" t="s">
        <v>137</v>
      </c>
      <c r="D17" s="4"/>
      <c r="E17" s="15" t="n">
        <v>16</v>
      </c>
    </row>
    <row r="18" customFormat="false" ht="15" hidden="false" customHeight="false" outlineLevel="0" collapsed="false">
      <c r="A18" s="4" t="s">
        <v>706</v>
      </c>
      <c r="B18" s="4" t="s">
        <v>707</v>
      </c>
      <c r="C18" s="4" t="s">
        <v>140</v>
      </c>
      <c r="D18" s="4"/>
      <c r="E18" s="15" t="n">
        <v>14</v>
      </c>
    </row>
    <row r="19" customFormat="false" ht="15" hidden="false" customHeight="false" outlineLevel="0" collapsed="false">
      <c r="A19" s="4" t="s">
        <v>708</v>
      </c>
      <c r="B19" s="4" t="s">
        <v>709</v>
      </c>
      <c r="C19" s="4" t="s">
        <v>125</v>
      </c>
      <c r="D19" s="4"/>
      <c r="E19" s="15" t="n">
        <v>12</v>
      </c>
    </row>
    <row r="20" customFormat="false" ht="15" hidden="false" customHeight="false" outlineLevel="0" collapsed="false">
      <c r="A20" s="4" t="s">
        <v>710</v>
      </c>
      <c r="B20" s="4" t="s">
        <v>711</v>
      </c>
      <c r="C20" s="4" t="s">
        <v>131</v>
      </c>
      <c r="D20" s="4"/>
      <c r="E20" s="15" t="n">
        <v>10</v>
      </c>
    </row>
    <row r="21" customFormat="false" ht="23.85" hidden="false" customHeight="false" outlineLevel="0" collapsed="false">
      <c r="A21" s="4" t="s">
        <v>712</v>
      </c>
      <c r="B21" s="4" t="s">
        <v>713</v>
      </c>
      <c r="C21" s="4" t="s">
        <v>146</v>
      </c>
      <c r="D21" s="4"/>
      <c r="E21" s="15" t="n">
        <v>22</v>
      </c>
    </row>
    <row r="22" customFormat="false" ht="15" hidden="false" customHeight="false" outlineLevel="0" collapsed="false">
      <c r="A22" s="4" t="s">
        <v>714</v>
      </c>
      <c r="B22" s="4" t="s">
        <v>715</v>
      </c>
      <c r="C22" s="4" t="s">
        <v>143</v>
      </c>
      <c r="D22" s="4"/>
      <c r="E22" s="15" t="n">
        <v>14</v>
      </c>
    </row>
    <row r="23" customFormat="false" ht="15" hidden="false" customHeight="false" outlineLevel="0" collapsed="false">
      <c r="A23" s="25"/>
      <c r="B23" s="25" t="s">
        <v>716</v>
      </c>
      <c r="C23" s="25"/>
      <c r="D23" s="25"/>
      <c r="E23" s="26" t="n">
        <f aca="false">SUM(E13:E22)</f>
        <v>148</v>
      </c>
    </row>
    <row r="25" customFormat="false" ht="90.25" hidden="false" customHeight="false" outlineLevel="0" collapsed="false">
      <c r="A25" s="22" t="s">
        <v>717</v>
      </c>
      <c r="B25" s="23"/>
      <c r="C25" s="23"/>
      <c r="D25" s="23"/>
      <c r="E25" s="23"/>
    </row>
    <row r="26" customFormat="false" ht="15" hidden="false" customHeight="false" outlineLevel="0" collapsed="false">
      <c r="A26" s="3" t="s">
        <v>487</v>
      </c>
      <c r="B26" s="3" t="s">
        <v>718</v>
      </c>
      <c r="C26" s="3"/>
      <c r="D26" s="3"/>
      <c r="E26" s="3" t="s">
        <v>695</v>
      </c>
    </row>
    <row r="27" customFormat="false" ht="23.85" hidden="false" customHeight="false" outlineLevel="0" collapsed="false">
      <c r="A27" s="4" t="s">
        <v>719</v>
      </c>
      <c r="B27" s="4" t="s">
        <v>720</v>
      </c>
      <c r="C27" s="4"/>
      <c r="D27" s="4"/>
      <c r="E27" s="15" t="n">
        <v>26</v>
      </c>
    </row>
    <row r="28" customFormat="false" ht="23.85" hidden="false" customHeight="false" outlineLevel="0" collapsed="false">
      <c r="A28" s="4" t="s">
        <v>721</v>
      </c>
      <c r="B28" s="4" t="s">
        <v>722</v>
      </c>
      <c r="C28" s="4"/>
      <c r="D28" s="4"/>
      <c r="E28" s="15" t="n">
        <v>30</v>
      </c>
    </row>
    <row r="29" customFormat="false" ht="23.85" hidden="false" customHeight="false" outlineLevel="0" collapsed="false">
      <c r="A29" s="4" t="s">
        <v>723</v>
      </c>
      <c r="B29" s="4" t="s">
        <v>724</v>
      </c>
      <c r="C29" s="4"/>
      <c r="D29" s="4"/>
      <c r="E29" s="15" t="n">
        <v>40</v>
      </c>
    </row>
    <row r="30" customFormat="false" ht="23.85" hidden="false" customHeight="false" outlineLevel="0" collapsed="false">
      <c r="A30" s="4" t="s">
        <v>725</v>
      </c>
      <c r="B30" s="4" t="s">
        <v>726</v>
      </c>
      <c r="C30" s="4"/>
      <c r="D30" s="4"/>
      <c r="E30" s="15" t="n">
        <v>30</v>
      </c>
    </row>
    <row r="31" customFormat="false" ht="15" hidden="false" customHeight="false" outlineLevel="0" collapsed="false">
      <c r="A31" s="4" t="s">
        <v>727</v>
      </c>
      <c r="B31" s="4" t="s">
        <v>728</v>
      </c>
      <c r="C31" s="4"/>
      <c r="D31" s="4"/>
      <c r="E31" s="15" t="n">
        <v>18</v>
      </c>
    </row>
    <row r="32" customFormat="false" ht="15" hidden="false" customHeight="false" outlineLevel="0" collapsed="false">
      <c r="A32" s="4" t="s">
        <v>729</v>
      </c>
      <c r="B32" s="4" t="s">
        <v>730</v>
      </c>
      <c r="C32" s="4"/>
      <c r="D32" s="4"/>
      <c r="E32" s="15" t="n">
        <v>24</v>
      </c>
    </row>
    <row r="33" customFormat="false" ht="15" hidden="false" customHeight="false" outlineLevel="0" collapsed="false">
      <c r="A33" s="4" t="s">
        <v>731</v>
      </c>
      <c r="B33" s="4" t="s">
        <v>732</v>
      </c>
      <c r="C33" s="4"/>
      <c r="D33" s="4"/>
      <c r="E33" s="15" t="n">
        <v>16</v>
      </c>
    </row>
    <row r="34" customFormat="false" ht="15" hidden="false" customHeight="false" outlineLevel="0" collapsed="false">
      <c r="A34" s="4" t="s">
        <v>733</v>
      </c>
      <c r="B34" s="4" t="s">
        <v>734</v>
      </c>
      <c r="C34" s="4"/>
      <c r="D34" s="4"/>
      <c r="E34" s="15" t="n">
        <v>16</v>
      </c>
    </row>
    <row r="35" customFormat="false" ht="15" hidden="false" customHeight="false" outlineLevel="0" collapsed="false">
      <c r="A35" s="4" t="s">
        <v>735</v>
      </c>
      <c r="B35" s="4" t="s">
        <v>736</v>
      </c>
      <c r="C35" s="4"/>
      <c r="D35" s="4"/>
      <c r="E35" s="15" t="n">
        <v>14</v>
      </c>
    </row>
    <row r="36" customFormat="false" ht="15" hidden="false" customHeight="false" outlineLevel="0" collapsed="false">
      <c r="A36" s="25"/>
      <c r="B36" s="25" t="s">
        <v>737</v>
      </c>
      <c r="C36" s="25"/>
      <c r="D36" s="25"/>
      <c r="E36" s="26" t="n">
        <f aca="false">SUM(E27:E35)</f>
        <v>214</v>
      </c>
    </row>
    <row r="38" customFormat="false" ht="26.85" hidden="false" customHeight="false" outlineLevel="0" collapsed="false">
      <c r="A38" s="22" t="s">
        <v>738</v>
      </c>
      <c r="B38" s="23"/>
      <c r="C38" s="23"/>
      <c r="D38" s="23"/>
      <c r="E38" s="23"/>
    </row>
    <row r="39" customFormat="false" ht="35.05" hidden="false" customHeight="false" outlineLevel="0" collapsed="false">
      <c r="A39" s="4" t="s">
        <v>739</v>
      </c>
      <c r="B39" s="4"/>
      <c r="C39" s="4"/>
      <c r="D39" s="4"/>
      <c r="E39" s="27" t="n">
        <f aca="false">E9+E23</f>
        <v>391.5</v>
      </c>
    </row>
    <row r="40" customFormat="false" ht="15" hidden="false" customHeight="false" outlineLevel="0" collapsed="false">
      <c r="A40" s="4" t="s">
        <v>740</v>
      </c>
      <c r="B40" s="4"/>
      <c r="C40" s="4"/>
      <c r="D40" s="4"/>
      <c r="E40" s="27" t="n">
        <f aca="false">E36</f>
        <v>214</v>
      </c>
    </row>
    <row r="41" customFormat="false" ht="23.85" hidden="false" customHeight="false" outlineLevel="0" collapsed="false">
      <c r="A41" s="28" t="s">
        <v>741</v>
      </c>
      <c r="B41" s="28"/>
      <c r="C41" s="28"/>
      <c r="D41" s="28"/>
      <c r="E41" s="29" t="n">
        <f aca="false">E9+E23+E36</f>
        <v>605.5</v>
      </c>
    </row>
    <row r="42" customFormat="false" ht="23.85" hidden="false" customHeight="false" outlineLevel="0" collapsed="false">
      <c r="A42" s="4" t="s">
        <v>742</v>
      </c>
      <c r="B42" s="4"/>
      <c r="C42" s="30" t="n">
        <v>0.15</v>
      </c>
      <c r="D42" s="4"/>
      <c r="E42" s="27" t="n">
        <f aca="false">E41*C42</f>
        <v>90.825</v>
      </c>
    </row>
    <row r="43" customFormat="false" ht="23.85" hidden="false" customHeight="false" outlineLevel="0" collapsed="false">
      <c r="A43" s="28" t="s">
        <v>743</v>
      </c>
      <c r="B43" s="28"/>
      <c r="C43" s="28"/>
      <c r="D43" s="28"/>
      <c r="E43" s="29" t="n">
        <f aca="false">E41+E42</f>
        <v>696.325</v>
      </c>
    </row>
    <row r="44" customFormat="false" ht="23.85" hidden="false" customHeight="false" outlineLevel="0" collapsed="false">
      <c r="A44" s="4" t="s">
        <v>744</v>
      </c>
      <c r="B44" s="4"/>
      <c r="C44" s="30" t="n">
        <v>0.1</v>
      </c>
      <c r="D44" s="4"/>
      <c r="E44" s="27" t="n">
        <f aca="false">E43*C44</f>
        <v>69.6325</v>
      </c>
    </row>
    <row r="45" customFormat="false" ht="52.2" hidden="false" customHeight="false" outlineLevel="0" collapsed="false">
      <c r="A45" s="22" t="s">
        <v>745</v>
      </c>
      <c r="B45" s="23"/>
      <c r="C45" s="23"/>
      <c r="D45" s="23"/>
      <c r="E45" s="31" t="n">
        <f aca="false">E43+E44</f>
        <v>765.9575</v>
      </c>
    </row>
    <row r="46" customFormat="false" ht="23.85" hidden="false" customHeight="false" outlineLevel="0" collapsed="false">
      <c r="A46" s="4" t="s">
        <v>746</v>
      </c>
      <c r="B46" s="4"/>
      <c r="C46" s="4"/>
      <c r="D46" s="4"/>
      <c r="E46" s="32" t="n">
        <f aca="false">E45/20</f>
        <v>38.297875</v>
      </c>
    </row>
    <row r="48" customFormat="false" ht="39.55" hidden="false" customHeight="false" outlineLevel="0" collapsed="false">
      <c r="A48" s="22" t="s">
        <v>747</v>
      </c>
      <c r="B48" s="23"/>
      <c r="C48" s="23"/>
      <c r="D48" s="23"/>
      <c r="E48" s="23"/>
    </row>
    <row r="49" customFormat="false" ht="15" hidden="false" customHeight="true" outlineLevel="0" collapsed="false">
      <c r="A49" s="33" t="s">
        <v>748</v>
      </c>
      <c r="B49" s="33"/>
      <c r="C49" s="33"/>
      <c r="D49" s="33"/>
      <c r="E49" s="33"/>
    </row>
    <row r="50" customFormat="false" ht="15" hidden="false" customHeight="true" outlineLevel="0" collapsed="false">
      <c r="A50" s="33" t="s">
        <v>749</v>
      </c>
      <c r="B50" s="33"/>
      <c r="C50" s="33"/>
      <c r="D50" s="33"/>
      <c r="E50" s="33"/>
    </row>
    <row r="51" customFormat="false" ht="15" hidden="false" customHeight="true" outlineLevel="0" collapsed="false">
      <c r="A51" s="33" t="s">
        <v>750</v>
      </c>
      <c r="B51" s="33"/>
      <c r="C51" s="33"/>
      <c r="D51" s="33"/>
      <c r="E51" s="33"/>
    </row>
    <row r="52" customFormat="false" ht="15" hidden="false" customHeight="true" outlineLevel="0" collapsed="false">
      <c r="A52" s="33" t="s">
        <v>751</v>
      </c>
      <c r="B52" s="33"/>
      <c r="C52" s="33"/>
      <c r="D52" s="33"/>
      <c r="E52" s="33"/>
    </row>
    <row r="53" customFormat="false" ht="15" hidden="false" customHeight="true" outlineLevel="0" collapsed="false">
      <c r="A53" s="33" t="s">
        <v>752</v>
      </c>
      <c r="B53" s="33"/>
      <c r="C53" s="33"/>
      <c r="D53" s="33"/>
      <c r="E53" s="33"/>
    </row>
    <row r="54" customFormat="false" ht="15" hidden="false" customHeight="true" outlineLevel="0" collapsed="false">
      <c r="A54" s="33" t="s">
        <v>753</v>
      </c>
      <c r="B54" s="33"/>
      <c r="C54" s="33"/>
      <c r="D54" s="33"/>
      <c r="E54" s="33"/>
    </row>
    <row r="55" customFormat="false" ht="15" hidden="false" customHeight="true" outlineLevel="0" collapsed="false">
      <c r="A55" s="33" t="s">
        <v>754</v>
      </c>
      <c r="B55" s="33"/>
      <c r="C55" s="33"/>
      <c r="D55" s="33"/>
      <c r="E55" s="33"/>
    </row>
    <row r="56" customFormat="false" ht="15" hidden="false" customHeight="true" outlineLevel="0" collapsed="false">
      <c r="A56" s="33" t="s">
        <v>755</v>
      </c>
      <c r="B56" s="33"/>
      <c r="C56" s="33"/>
      <c r="D56" s="33"/>
      <c r="E56" s="33"/>
    </row>
  </sheetData>
  <mergeCells count="10">
    <mergeCell ref="A1:E1"/>
    <mergeCell ref="A2:E2"/>
    <mergeCell ref="A49:E49"/>
    <mergeCell ref="A50:E50"/>
    <mergeCell ref="A51:E51"/>
    <mergeCell ref="A52:E52"/>
    <mergeCell ref="A53:E53"/>
    <mergeCell ref="A54:E54"/>
    <mergeCell ref="A55:E55"/>
    <mergeCell ref="A56:E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0"/>
  </cols>
  <sheetData>
    <row r="1" customFormat="false" ht="25.5" hidden="false" customHeight="true" outlineLevel="0" collapsed="false">
      <c r="A1" s="1" t="s">
        <v>756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757</v>
      </c>
      <c r="B2" s="2"/>
      <c r="C2" s="2"/>
      <c r="D2" s="2"/>
      <c r="E2" s="2"/>
    </row>
    <row r="4" customFormat="false" ht="15" hidden="false" customHeight="false" outlineLevel="0" collapsed="false">
      <c r="A4" s="28" t="s">
        <v>758</v>
      </c>
      <c r="B4" s="28"/>
      <c r="C4" s="28"/>
      <c r="D4" s="28"/>
      <c r="E4" s="34" t="n">
        <f aca="false">'07_Estimate-WBS'!$E$45</f>
        <v>765.9575</v>
      </c>
    </row>
    <row r="5" customFormat="false" ht="23.85" hidden="false" customHeight="false" outlineLevel="0" collapsed="false">
      <c r="A5" s="4" t="s">
        <v>759</v>
      </c>
      <c r="B5" s="4"/>
      <c r="C5" s="4"/>
      <c r="D5" s="4"/>
      <c r="E5" s="35" t="n">
        <v>46660</v>
      </c>
    </row>
    <row r="7" customFormat="false" ht="15" hidden="false" customHeight="false" outlineLevel="0" collapsed="false">
      <c r="A7" s="22" t="s">
        <v>760</v>
      </c>
      <c r="B7" s="23"/>
      <c r="C7" s="23"/>
      <c r="D7" s="23"/>
      <c r="E7" s="23"/>
    </row>
    <row r="8" customFormat="false" ht="15" hidden="false" customHeight="false" outlineLevel="0" collapsed="false">
      <c r="A8" s="3" t="s">
        <v>694</v>
      </c>
      <c r="B8" s="3" t="s">
        <v>60</v>
      </c>
      <c r="C8" s="3" t="s">
        <v>695</v>
      </c>
      <c r="D8" s="3" t="s">
        <v>761</v>
      </c>
      <c r="E8" s="3" t="s">
        <v>762</v>
      </c>
    </row>
    <row r="9" customFormat="false" ht="15" hidden="false" customHeight="false" outlineLevel="0" collapsed="false">
      <c r="A9" s="4" t="s">
        <v>763</v>
      </c>
      <c r="B9" s="4" t="s">
        <v>764</v>
      </c>
      <c r="C9" s="27" t="n">
        <f aca="false">E4-C10-C11</f>
        <v>710.2975</v>
      </c>
      <c r="D9" s="36" t="n">
        <f aca="false">E5</f>
        <v>46660</v>
      </c>
      <c r="E9" s="36" t="n">
        <f aca="false">C9*D9</f>
        <v>33142481.35</v>
      </c>
    </row>
    <row r="10" customFormat="false" ht="15" hidden="false" customHeight="false" outlineLevel="0" collapsed="false">
      <c r="A10" s="4" t="s">
        <v>765</v>
      </c>
      <c r="B10" s="4" t="s">
        <v>764</v>
      </c>
      <c r="C10" s="27" t="n">
        <f aca="false">'07_Estimate-WBS'!$E$30*(E4/'07_Estimate-WBS'!$E$41)</f>
        <v>37.95</v>
      </c>
      <c r="D10" s="36" t="n">
        <f aca="false">E5</f>
        <v>46660</v>
      </c>
      <c r="E10" s="36" t="n">
        <f aca="false">C10*D10</f>
        <v>1770747</v>
      </c>
    </row>
    <row r="11" customFormat="false" ht="15" hidden="false" customHeight="false" outlineLevel="0" collapsed="false">
      <c r="A11" s="4" t="s">
        <v>766</v>
      </c>
      <c r="B11" s="4" t="s">
        <v>764</v>
      </c>
      <c r="C11" s="27" t="n">
        <f aca="false">'07_Estimate-WBS'!$E$35*(E4/'07_Estimate-WBS'!$E$41)</f>
        <v>17.71</v>
      </c>
      <c r="D11" s="36" t="n">
        <f aca="false">E5</f>
        <v>46660</v>
      </c>
      <c r="E11" s="36" t="n">
        <f aca="false">C11*D11</f>
        <v>826348.6</v>
      </c>
    </row>
    <row r="12" customFormat="false" ht="15" hidden="false" customHeight="false" outlineLevel="0" collapsed="false">
      <c r="A12" s="6" t="s">
        <v>767</v>
      </c>
      <c r="B12" s="6" t="s">
        <v>768</v>
      </c>
      <c r="C12" s="6" t="s">
        <v>769</v>
      </c>
      <c r="D12" s="6" t="s">
        <v>769</v>
      </c>
      <c r="E12" s="6" t="s">
        <v>770</v>
      </c>
    </row>
    <row r="13" customFormat="false" ht="15" hidden="false" customHeight="false" outlineLevel="0" collapsed="false">
      <c r="A13" s="28" t="s">
        <v>771</v>
      </c>
      <c r="B13" s="28"/>
      <c r="C13" s="28"/>
      <c r="D13" s="28"/>
      <c r="E13" s="37" t="n">
        <f aca="false">SUM(E9:E11)</f>
        <v>35739576.95</v>
      </c>
    </row>
    <row r="14" customFormat="false" ht="15" hidden="false" customHeight="false" outlineLevel="0" collapsed="false">
      <c r="A14" s="4" t="s">
        <v>772</v>
      </c>
      <c r="B14" s="4"/>
      <c r="C14" s="4"/>
      <c r="D14" s="4"/>
      <c r="E14" s="38" t="n">
        <f aca="false">E13*170</f>
        <v>6075728081.5</v>
      </c>
    </row>
    <row r="16" customFormat="false" ht="39.55" hidden="false" customHeight="false" outlineLevel="0" collapsed="false">
      <c r="A16" s="22" t="s">
        <v>773</v>
      </c>
      <c r="B16" s="23"/>
      <c r="C16" s="23"/>
      <c r="D16" s="23"/>
      <c r="E16" s="23"/>
    </row>
    <row r="17" customFormat="false" ht="15" hidden="false" customHeight="false" outlineLevel="0" collapsed="false">
      <c r="A17" s="3" t="s">
        <v>694</v>
      </c>
      <c r="B17" s="3" t="s">
        <v>60</v>
      </c>
      <c r="C17" s="3" t="s">
        <v>774</v>
      </c>
      <c r="D17" s="3"/>
      <c r="E17" s="3" t="s">
        <v>775</v>
      </c>
    </row>
    <row r="18" customFormat="false" ht="35.05" hidden="false" customHeight="false" outlineLevel="0" collapsed="false">
      <c r="A18" s="4" t="s">
        <v>776</v>
      </c>
      <c r="B18" s="4" t="s">
        <v>777</v>
      </c>
      <c r="C18" s="4" t="s">
        <v>778</v>
      </c>
      <c r="D18" s="4"/>
      <c r="E18" s="4" t="s">
        <v>779</v>
      </c>
    </row>
    <row r="19" customFormat="false" ht="35.05" hidden="false" customHeight="false" outlineLevel="0" collapsed="false">
      <c r="A19" s="4" t="s">
        <v>780</v>
      </c>
      <c r="B19" s="4" t="s">
        <v>777</v>
      </c>
      <c r="C19" s="4" t="s">
        <v>781</v>
      </c>
      <c r="D19" s="4"/>
      <c r="E19" s="4" t="s">
        <v>782</v>
      </c>
    </row>
    <row r="20" customFormat="false" ht="23.85" hidden="false" customHeight="false" outlineLevel="0" collapsed="false">
      <c r="A20" s="4" t="s">
        <v>783</v>
      </c>
      <c r="B20" s="4" t="s">
        <v>777</v>
      </c>
      <c r="C20" s="4" t="s">
        <v>781</v>
      </c>
      <c r="D20" s="4"/>
      <c r="E20" s="4" t="s">
        <v>784</v>
      </c>
    </row>
    <row r="22" customFormat="false" ht="26.85" hidden="false" customHeight="false" outlineLevel="0" collapsed="false">
      <c r="A22" s="22" t="s">
        <v>785</v>
      </c>
      <c r="B22" s="23"/>
      <c r="C22" s="23"/>
      <c r="D22" s="23"/>
      <c r="E22" s="23"/>
    </row>
    <row r="23" customFormat="false" ht="15" hidden="false" customHeight="false" outlineLevel="0" collapsed="false">
      <c r="A23" s="3" t="s">
        <v>694</v>
      </c>
      <c r="B23" s="3" t="s">
        <v>60</v>
      </c>
      <c r="C23" s="3"/>
      <c r="D23" s="3"/>
      <c r="E23" s="3" t="s">
        <v>491</v>
      </c>
    </row>
    <row r="24" customFormat="false" ht="15" hidden="false" customHeight="false" outlineLevel="0" collapsed="false">
      <c r="A24" s="4" t="s">
        <v>786</v>
      </c>
      <c r="B24" s="4" t="s">
        <v>787</v>
      </c>
      <c r="C24" s="4"/>
      <c r="D24" s="4"/>
      <c r="E24" s="4" t="s">
        <v>788</v>
      </c>
    </row>
    <row r="25" customFormat="false" ht="23.85" hidden="false" customHeight="false" outlineLevel="0" collapsed="false">
      <c r="A25" s="4" t="s">
        <v>789</v>
      </c>
      <c r="B25" s="4" t="s">
        <v>787</v>
      </c>
      <c r="C25" s="4"/>
      <c r="D25" s="4"/>
      <c r="E25" s="4" t="s">
        <v>788</v>
      </c>
    </row>
    <row r="26" customFormat="false" ht="23.85" hidden="false" customHeight="false" outlineLevel="0" collapsed="false">
      <c r="A26" s="4" t="s">
        <v>790</v>
      </c>
      <c r="B26" s="4" t="s">
        <v>787</v>
      </c>
      <c r="C26" s="4"/>
      <c r="D26" s="4"/>
      <c r="E26" s="4" t="s">
        <v>791</v>
      </c>
    </row>
    <row r="27" customFormat="false" ht="15" hidden="false" customHeight="false" outlineLevel="0" collapsed="false">
      <c r="A27" s="4" t="s">
        <v>792</v>
      </c>
      <c r="B27" s="4" t="s">
        <v>787</v>
      </c>
      <c r="C27" s="4"/>
      <c r="D27" s="4"/>
      <c r="E27" s="4" t="s">
        <v>788</v>
      </c>
    </row>
    <row r="29" customFormat="false" ht="15" hidden="false" customHeight="false" outlineLevel="0" collapsed="false">
      <c r="A29" s="22" t="s">
        <v>793</v>
      </c>
      <c r="B29" s="23"/>
      <c r="C29" s="23"/>
      <c r="D29" s="23"/>
      <c r="E29" s="23"/>
    </row>
    <row r="30" customFormat="false" ht="15" hidden="false" customHeight="true" outlineLevel="0" collapsed="false">
      <c r="A30" s="33" t="s">
        <v>794</v>
      </c>
      <c r="B30" s="33"/>
      <c r="C30" s="33"/>
      <c r="D30" s="33"/>
      <c r="E30" s="33"/>
    </row>
    <row r="31" customFormat="false" ht="15" hidden="false" customHeight="true" outlineLevel="0" collapsed="false">
      <c r="A31" s="33" t="s">
        <v>795</v>
      </c>
      <c r="B31" s="33"/>
      <c r="C31" s="33"/>
      <c r="D31" s="33"/>
      <c r="E31" s="33"/>
    </row>
    <row r="32" customFormat="false" ht="15" hidden="false" customHeight="true" outlineLevel="0" collapsed="false">
      <c r="A32" s="33" t="s">
        <v>796</v>
      </c>
      <c r="B32" s="33"/>
      <c r="C32" s="33"/>
      <c r="D32" s="33"/>
      <c r="E32" s="33"/>
    </row>
    <row r="33" customFormat="false" ht="15" hidden="false" customHeight="true" outlineLevel="0" collapsed="false">
      <c r="A33" s="33" t="s">
        <v>797</v>
      </c>
      <c r="B33" s="33"/>
      <c r="C33" s="33"/>
      <c r="D33" s="33"/>
      <c r="E33" s="33"/>
    </row>
    <row r="34" customFormat="false" ht="15" hidden="false" customHeight="true" outlineLevel="0" collapsed="false">
      <c r="A34" s="33" t="s">
        <v>798</v>
      </c>
      <c r="B34" s="33"/>
      <c r="C34" s="33"/>
      <c r="D34" s="33"/>
      <c r="E34" s="33"/>
    </row>
  </sheetData>
  <mergeCells count="7">
    <mergeCell ref="A1:E1"/>
    <mergeCell ref="A2:E2"/>
    <mergeCell ref="A30:E30"/>
    <mergeCell ref="A31:E31"/>
    <mergeCell ref="A32:E32"/>
    <mergeCell ref="A33:E33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5" min="4" style="0" width="9"/>
    <col collapsed="false" customWidth="true" hidden="false" outlineLevel="0" max="6" min="6" style="0" width="7"/>
    <col collapsed="false" customWidth="true" hidden="false" outlineLevel="0" max="7" min="7" style="0" width="42"/>
    <col collapsed="false" customWidth="true" hidden="false" outlineLevel="0" max="8" min="8" style="0" width="30"/>
  </cols>
  <sheetData>
    <row r="1" customFormat="false" ht="25.5" hidden="false" customHeight="true" outlineLevel="0" collapsed="false">
      <c r="A1" s="1" t="s">
        <v>799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800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3" t="s">
        <v>57</v>
      </c>
      <c r="B4" s="3" t="s">
        <v>801</v>
      </c>
      <c r="C4" s="3" t="s">
        <v>488</v>
      </c>
      <c r="D4" s="3" t="s">
        <v>802</v>
      </c>
      <c r="E4" s="3" t="s">
        <v>803</v>
      </c>
      <c r="F4" s="3" t="s">
        <v>804</v>
      </c>
      <c r="G4" s="3" t="s">
        <v>805</v>
      </c>
      <c r="H4" s="3" t="s">
        <v>806</v>
      </c>
    </row>
    <row r="5" customFormat="false" ht="26.85" hidden="false" customHeight="false" outlineLevel="0" collapsed="false">
      <c r="A5" s="10" t="s">
        <v>807</v>
      </c>
      <c r="B5" s="39" t="s">
        <v>808</v>
      </c>
      <c r="C5" s="4" t="s">
        <v>809</v>
      </c>
      <c r="D5" s="40" t="s">
        <v>810</v>
      </c>
      <c r="E5" s="41" t="s">
        <v>811</v>
      </c>
      <c r="F5" s="41" t="s">
        <v>811</v>
      </c>
      <c r="G5" s="4" t="s">
        <v>812</v>
      </c>
      <c r="H5" s="4" t="s">
        <v>813</v>
      </c>
    </row>
    <row r="6" customFormat="false" ht="26.85" hidden="false" customHeight="false" outlineLevel="0" collapsed="false">
      <c r="A6" s="10" t="s">
        <v>814</v>
      </c>
      <c r="B6" s="39" t="s">
        <v>815</v>
      </c>
      <c r="C6" s="4" t="s">
        <v>809</v>
      </c>
      <c r="D6" s="41" t="s">
        <v>811</v>
      </c>
      <c r="E6" s="41" t="s">
        <v>811</v>
      </c>
      <c r="F6" s="41" t="s">
        <v>811</v>
      </c>
      <c r="G6" s="4" t="s">
        <v>816</v>
      </c>
      <c r="H6" s="4" t="s">
        <v>817</v>
      </c>
    </row>
    <row r="7" customFormat="false" ht="29.85" hidden="false" customHeight="false" outlineLevel="0" collapsed="false">
      <c r="A7" s="10" t="s">
        <v>818</v>
      </c>
      <c r="B7" s="39" t="s">
        <v>819</v>
      </c>
      <c r="C7" s="4" t="s">
        <v>809</v>
      </c>
      <c r="D7" s="40" t="s">
        <v>810</v>
      </c>
      <c r="E7" s="41" t="s">
        <v>811</v>
      </c>
      <c r="F7" s="41" t="s">
        <v>811</v>
      </c>
      <c r="G7" s="4" t="s">
        <v>820</v>
      </c>
      <c r="H7" s="4" t="s">
        <v>821</v>
      </c>
    </row>
    <row r="8" customFormat="false" ht="23.85" hidden="false" customHeight="false" outlineLevel="0" collapsed="false">
      <c r="A8" s="10" t="s">
        <v>822</v>
      </c>
      <c r="B8" s="39" t="s">
        <v>823</v>
      </c>
      <c r="C8" s="4" t="s">
        <v>809</v>
      </c>
      <c r="D8" s="40" t="s">
        <v>810</v>
      </c>
      <c r="E8" s="41" t="s">
        <v>811</v>
      </c>
      <c r="F8" s="41" t="s">
        <v>811</v>
      </c>
      <c r="G8" s="4" t="s">
        <v>824</v>
      </c>
      <c r="H8" s="4" t="s">
        <v>825</v>
      </c>
    </row>
    <row r="9" customFormat="false" ht="23.85" hidden="false" customHeight="false" outlineLevel="0" collapsed="false">
      <c r="A9" s="10" t="s">
        <v>826</v>
      </c>
      <c r="B9" s="4" t="s">
        <v>827</v>
      </c>
      <c r="C9" s="4" t="s">
        <v>828</v>
      </c>
      <c r="D9" s="40" t="s">
        <v>810</v>
      </c>
      <c r="E9" s="41" t="s">
        <v>811</v>
      </c>
      <c r="F9" s="41" t="s">
        <v>811</v>
      </c>
      <c r="G9" s="4" t="s">
        <v>829</v>
      </c>
      <c r="H9" s="4" t="s">
        <v>830</v>
      </c>
    </row>
    <row r="10" customFormat="false" ht="23.85" hidden="false" customHeight="false" outlineLevel="0" collapsed="false">
      <c r="A10" s="10" t="s">
        <v>831</v>
      </c>
      <c r="B10" s="4" t="s">
        <v>832</v>
      </c>
      <c r="C10" s="4" t="s">
        <v>833</v>
      </c>
      <c r="D10" s="40" t="s">
        <v>810</v>
      </c>
      <c r="E10" s="41" t="s">
        <v>811</v>
      </c>
      <c r="F10" s="41" t="s">
        <v>811</v>
      </c>
      <c r="G10" s="4" t="s">
        <v>834</v>
      </c>
      <c r="H10" s="4" t="s">
        <v>835</v>
      </c>
    </row>
    <row r="11" customFormat="false" ht="23.85" hidden="false" customHeight="false" outlineLevel="0" collapsed="false">
      <c r="A11" s="10" t="s">
        <v>836</v>
      </c>
      <c r="B11" s="4" t="s">
        <v>837</v>
      </c>
      <c r="C11" s="4" t="s">
        <v>838</v>
      </c>
      <c r="D11" s="41" t="s">
        <v>811</v>
      </c>
      <c r="E11" s="41" t="s">
        <v>811</v>
      </c>
      <c r="F11" s="41" t="s">
        <v>811</v>
      </c>
      <c r="G11" s="4" t="s">
        <v>839</v>
      </c>
      <c r="H11" s="4" t="s">
        <v>840</v>
      </c>
    </row>
    <row r="12" customFormat="false" ht="23.85" hidden="false" customHeight="false" outlineLevel="0" collapsed="false">
      <c r="A12" s="10" t="s">
        <v>841</v>
      </c>
      <c r="B12" s="4" t="s">
        <v>842</v>
      </c>
      <c r="C12" s="4" t="s">
        <v>843</v>
      </c>
      <c r="D12" s="40" t="s">
        <v>810</v>
      </c>
      <c r="E12" s="40" t="s">
        <v>810</v>
      </c>
      <c r="F12" s="40" t="s">
        <v>810</v>
      </c>
      <c r="G12" s="4" t="s">
        <v>844</v>
      </c>
      <c r="H12" s="4" t="s">
        <v>845</v>
      </c>
    </row>
    <row r="13" customFormat="false" ht="23.85" hidden="false" customHeight="false" outlineLevel="0" collapsed="false">
      <c r="A13" s="10" t="s">
        <v>846</v>
      </c>
      <c r="B13" s="4" t="s">
        <v>847</v>
      </c>
      <c r="C13" s="4" t="s">
        <v>848</v>
      </c>
      <c r="D13" s="40" t="s">
        <v>810</v>
      </c>
      <c r="E13" s="40" t="s">
        <v>810</v>
      </c>
      <c r="F13" s="40" t="s">
        <v>810</v>
      </c>
      <c r="G13" s="4" t="s">
        <v>849</v>
      </c>
      <c r="H13" s="4" t="s">
        <v>850</v>
      </c>
    </row>
    <row r="14" customFormat="false" ht="23.85" hidden="false" customHeight="false" outlineLevel="0" collapsed="false">
      <c r="A14" s="10" t="s">
        <v>851</v>
      </c>
      <c r="B14" s="4" t="s">
        <v>852</v>
      </c>
      <c r="C14" s="4" t="s">
        <v>853</v>
      </c>
      <c r="D14" s="40" t="s">
        <v>810</v>
      </c>
      <c r="E14" s="41" t="s">
        <v>811</v>
      </c>
      <c r="F14" s="41" t="s">
        <v>811</v>
      </c>
      <c r="G14" s="4" t="s">
        <v>854</v>
      </c>
      <c r="H14" s="4" t="s">
        <v>855</v>
      </c>
    </row>
    <row r="15" customFormat="false" ht="23.85" hidden="false" customHeight="false" outlineLevel="0" collapsed="false">
      <c r="A15" s="10" t="s">
        <v>856</v>
      </c>
      <c r="B15" s="4" t="s">
        <v>857</v>
      </c>
      <c r="C15" s="4" t="s">
        <v>858</v>
      </c>
      <c r="D15" s="42" t="s">
        <v>859</v>
      </c>
      <c r="E15" s="40" t="s">
        <v>810</v>
      </c>
      <c r="F15" s="42" t="s">
        <v>859</v>
      </c>
      <c r="G15" s="4" t="s">
        <v>860</v>
      </c>
      <c r="H15" s="4" t="s">
        <v>861</v>
      </c>
    </row>
    <row r="16" customFormat="false" ht="15" hidden="false" customHeight="false" outlineLevel="0" collapsed="false">
      <c r="A16" s="10" t="s">
        <v>862</v>
      </c>
      <c r="B16" s="4" t="s">
        <v>863</v>
      </c>
      <c r="C16" s="4" t="s">
        <v>858</v>
      </c>
      <c r="D16" s="42" t="s">
        <v>859</v>
      </c>
      <c r="E16" s="41" t="s">
        <v>811</v>
      </c>
      <c r="F16" s="40" t="s">
        <v>810</v>
      </c>
      <c r="G16" s="4" t="s">
        <v>864</v>
      </c>
      <c r="H16" s="4" t="s">
        <v>865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25.5" hidden="false" customHeight="true" outlineLevel="0" collapsed="false">
      <c r="A1" s="1" t="s">
        <v>866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867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868</v>
      </c>
      <c r="B4" s="3" t="s">
        <v>869</v>
      </c>
      <c r="C4" s="3" t="s">
        <v>870</v>
      </c>
      <c r="D4" s="3" t="s">
        <v>871</v>
      </c>
      <c r="E4" s="3" t="s">
        <v>872</v>
      </c>
      <c r="F4" s="3" t="s">
        <v>491</v>
      </c>
    </row>
    <row r="5" customFormat="false" ht="29.85" hidden="false" customHeight="false" outlineLevel="0" collapsed="false">
      <c r="A5" s="10" t="s">
        <v>873</v>
      </c>
      <c r="B5" s="13" t="s">
        <v>874</v>
      </c>
      <c r="C5" s="13" t="s">
        <v>875</v>
      </c>
      <c r="D5" s="13" t="s">
        <v>876</v>
      </c>
      <c r="E5" s="4" t="s">
        <v>877</v>
      </c>
      <c r="F5" s="4" t="s">
        <v>878</v>
      </c>
    </row>
    <row r="6" customFormat="false" ht="15" hidden="false" customHeight="false" outlineLevel="0" collapsed="false">
      <c r="A6" s="10" t="s">
        <v>879</v>
      </c>
      <c r="B6" s="13" t="s">
        <v>880</v>
      </c>
      <c r="C6" s="13" t="s">
        <v>875</v>
      </c>
      <c r="D6" s="13" t="s">
        <v>876</v>
      </c>
      <c r="E6" s="4" t="s">
        <v>881</v>
      </c>
      <c r="F6" s="4" t="s">
        <v>769</v>
      </c>
    </row>
    <row r="7" customFormat="false" ht="15" hidden="false" customHeight="false" outlineLevel="0" collapsed="false">
      <c r="A7" s="10" t="s">
        <v>882</v>
      </c>
      <c r="B7" s="13" t="s">
        <v>883</v>
      </c>
      <c r="C7" s="13" t="s">
        <v>875</v>
      </c>
      <c r="D7" s="13" t="s">
        <v>876</v>
      </c>
      <c r="E7" s="4" t="s">
        <v>881</v>
      </c>
      <c r="F7" s="4" t="s">
        <v>769</v>
      </c>
    </row>
    <row r="8" customFormat="false" ht="15" hidden="false" customHeight="false" outlineLevel="0" collapsed="false">
      <c r="A8" s="10" t="s">
        <v>884</v>
      </c>
      <c r="B8" s="13" t="s">
        <v>885</v>
      </c>
      <c r="C8" s="13" t="s">
        <v>875</v>
      </c>
      <c r="D8" s="13" t="s">
        <v>876</v>
      </c>
      <c r="E8" s="4" t="s">
        <v>881</v>
      </c>
      <c r="F8" s="4" t="s">
        <v>769</v>
      </c>
    </row>
    <row r="9" customFormat="false" ht="29.85" hidden="false" customHeight="false" outlineLevel="0" collapsed="false">
      <c r="A9" s="10" t="s">
        <v>886</v>
      </c>
      <c r="B9" s="13" t="s">
        <v>887</v>
      </c>
      <c r="C9" s="13" t="s">
        <v>888</v>
      </c>
      <c r="D9" s="13" t="s">
        <v>889</v>
      </c>
      <c r="E9" s="4" t="s">
        <v>890</v>
      </c>
      <c r="F9" s="4" t="s">
        <v>891</v>
      </c>
    </row>
    <row r="10" customFormat="false" ht="15" hidden="false" customHeight="false" outlineLevel="0" collapsed="false">
      <c r="A10" s="10" t="s">
        <v>892</v>
      </c>
      <c r="B10" s="13" t="s">
        <v>893</v>
      </c>
      <c r="C10" s="13" t="s">
        <v>888</v>
      </c>
      <c r="D10" s="13" t="s">
        <v>876</v>
      </c>
      <c r="E10" s="4" t="s">
        <v>881</v>
      </c>
      <c r="F10" s="4" t="s">
        <v>894</v>
      </c>
    </row>
    <row r="11" customFormat="false" ht="15" hidden="false" customHeight="false" outlineLevel="0" collapsed="false">
      <c r="A11" s="10" t="s">
        <v>895</v>
      </c>
      <c r="B11" s="13" t="s">
        <v>896</v>
      </c>
      <c r="C11" s="13" t="s">
        <v>888</v>
      </c>
      <c r="D11" s="13" t="s">
        <v>889</v>
      </c>
      <c r="E11" s="4" t="s">
        <v>881</v>
      </c>
      <c r="F11" s="4" t="s">
        <v>769</v>
      </c>
    </row>
    <row r="12" customFormat="false" ht="15" hidden="false" customHeight="false" outlineLevel="0" collapsed="false">
      <c r="A12" s="10" t="s">
        <v>897</v>
      </c>
      <c r="B12" s="13" t="s">
        <v>898</v>
      </c>
      <c r="C12" s="13" t="s">
        <v>888</v>
      </c>
      <c r="D12" s="13" t="s">
        <v>889</v>
      </c>
      <c r="E12" s="4" t="s">
        <v>881</v>
      </c>
      <c r="F12" s="4" t="s">
        <v>769</v>
      </c>
    </row>
    <row r="13" customFormat="false" ht="15" hidden="false" customHeight="false" outlineLevel="0" collapsed="false">
      <c r="A13" s="10" t="s">
        <v>899</v>
      </c>
      <c r="B13" s="13" t="s">
        <v>900</v>
      </c>
      <c r="C13" s="13" t="s">
        <v>901</v>
      </c>
      <c r="D13" s="13" t="s">
        <v>876</v>
      </c>
      <c r="E13" s="4" t="s">
        <v>881</v>
      </c>
      <c r="F13" s="4" t="s">
        <v>769</v>
      </c>
    </row>
    <row r="14" customFormat="false" ht="15" hidden="false" customHeight="false" outlineLevel="0" collapsed="false">
      <c r="A14" s="10" t="s">
        <v>902</v>
      </c>
      <c r="B14" s="13" t="s">
        <v>903</v>
      </c>
      <c r="C14" s="13" t="s">
        <v>901</v>
      </c>
      <c r="D14" s="13" t="s">
        <v>876</v>
      </c>
      <c r="E14" s="4" t="s">
        <v>881</v>
      </c>
      <c r="F14" s="4" t="s">
        <v>769</v>
      </c>
    </row>
    <row r="15" customFormat="false" ht="15" hidden="false" customHeight="false" outlineLevel="0" collapsed="false">
      <c r="A15" s="10" t="s">
        <v>904</v>
      </c>
      <c r="B15" s="13" t="s">
        <v>905</v>
      </c>
      <c r="C15" s="13" t="s">
        <v>901</v>
      </c>
      <c r="D15" s="13" t="s">
        <v>876</v>
      </c>
      <c r="E15" s="4" t="s">
        <v>881</v>
      </c>
      <c r="F15" s="4" t="s">
        <v>769</v>
      </c>
    </row>
    <row r="16" customFormat="false" ht="15" hidden="false" customHeight="false" outlineLevel="0" collapsed="false">
      <c r="A16" s="10" t="s">
        <v>906</v>
      </c>
      <c r="B16" s="13" t="s">
        <v>907</v>
      </c>
      <c r="C16" s="13" t="s">
        <v>901</v>
      </c>
      <c r="D16" s="13" t="s">
        <v>876</v>
      </c>
      <c r="E16" s="4" t="s">
        <v>881</v>
      </c>
      <c r="F16" s="4" t="s">
        <v>769</v>
      </c>
    </row>
    <row r="18" customFormat="false" ht="26.85" hidden="false" customHeight="false" outlineLevel="0" collapsed="false">
      <c r="A18" s="22" t="s">
        <v>908</v>
      </c>
      <c r="B18" s="23" t="s">
        <v>909</v>
      </c>
      <c r="C18" s="23"/>
      <c r="D18" s="23"/>
      <c r="E18" s="23"/>
      <c r="F18" s="23"/>
    </row>
    <row r="19" customFormat="false" ht="15" hidden="false" customHeight="true" outlineLevel="0" collapsed="false">
      <c r="A19" s="43" t="s">
        <v>910</v>
      </c>
      <c r="B19" s="44" t="s">
        <v>911</v>
      </c>
      <c r="C19" s="44"/>
      <c r="D19" s="44"/>
      <c r="E19" s="44"/>
      <c r="F19" s="44"/>
    </row>
    <row r="20" customFormat="false" ht="15" hidden="false" customHeight="true" outlineLevel="0" collapsed="false">
      <c r="A20" s="43" t="s">
        <v>912</v>
      </c>
      <c r="B20" s="44" t="s">
        <v>913</v>
      </c>
      <c r="C20" s="44"/>
      <c r="D20" s="44"/>
      <c r="E20" s="44"/>
      <c r="F20" s="44"/>
    </row>
    <row r="21" customFormat="false" ht="32.8" hidden="false" customHeight="true" outlineLevel="0" collapsed="false">
      <c r="A21" s="43" t="s">
        <v>914</v>
      </c>
      <c r="B21" s="45" t="s">
        <v>915</v>
      </c>
      <c r="C21" s="45"/>
      <c r="D21" s="45"/>
      <c r="E21" s="45"/>
      <c r="F21" s="45"/>
    </row>
    <row r="22" customFormat="false" ht="15" hidden="false" customHeight="true" outlineLevel="0" collapsed="false">
      <c r="A22" s="43" t="s">
        <v>916</v>
      </c>
      <c r="B22" s="44" t="s">
        <v>917</v>
      </c>
      <c r="C22" s="44"/>
      <c r="D22" s="44"/>
      <c r="E22" s="44"/>
      <c r="F22" s="44"/>
    </row>
    <row r="23" customFormat="false" ht="15" hidden="false" customHeight="true" outlineLevel="0" collapsed="false">
      <c r="A23" s="43" t="s">
        <v>918</v>
      </c>
      <c r="B23" s="44" t="s">
        <v>919</v>
      </c>
      <c r="C23" s="44"/>
      <c r="D23" s="44"/>
      <c r="E23" s="44"/>
      <c r="F23" s="44"/>
    </row>
    <row r="24" customFormat="false" ht="22.35" hidden="false" customHeight="true" outlineLevel="0" collapsed="false">
      <c r="A24" s="43" t="s">
        <v>920</v>
      </c>
      <c r="B24" s="44" t="s">
        <v>921</v>
      </c>
      <c r="C24" s="44"/>
      <c r="D24" s="44"/>
      <c r="E24" s="44"/>
      <c r="F24" s="44"/>
    </row>
    <row r="25" customFormat="false" ht="22.35" hidden="false" customHeight="true" outlineLevel="0" collapsed="false">
      <c r="A25" s="43" t="s">
        <v>922</v>
      </c>
      <c r="B25" s="44" t="s">
        <v>923</v>
      </c>
      <c r="C25" s="44"/>
      <c r="D25" s="44"/>
      <c r="E25" s="44"/>
      <c r="F25" s="44"/>
    </row>
    <row r="26" customFormat="false" ht="22.35" hidden="false" customHeight="true" outlineLevel="0" collapsed="false">
      <c r="A26" s="43" t="s">
        <v>924</v>
      </c>
      <c r="B26" s="44" t="s">
        <v>925</v>
      </c>
      <c r="C26" s="44"/>
      <c r="D26" s="44"/>
      <c r="E26" s="44"/>
      <c r="F26" s="44"/>
    </row>
    <row r="27" customFormat="false" ht="15" hidden="false" customHeight="true" outlineLevel="0" collapsed="false">
      <c r="A27" s="43" t="s">
        <v>926</v>
      </c>
      <c r="B27" s="44" t="s">
        <v>927</v>
      </c>
      <c r="C27" s="44"/>
      <c r="D27" s="44"/>
      <c r="E27" s="44"/>
      <c r="F27" s="44"/>
    </row>
    <row r="28" customFormat="false" ht="22.35" hidden="false" customHeight="true" outlineLevel="0" collapsed="false">
      <c r="A28" s="43" t="s">
        <v>928</v>
      </c>
      <c r="B28" s="44" t="s">
        <v>929</v>
      </c>
      <c r="C28" s="44"/>
      <c r="D28" s="44"/>
      <c r="E28" s="44"/>
      <c r="F28" s="44"/>
    </row>
    <row r="29" customFormat="false" ht="15" hidden="false" customHeight="true" outlineLevel="0" collapsed="false">
      <c r="A29" s="43" t="s">
        <v>930</v>
      </c>
      <c r="B29" s="44" t="s">
        <v>931</v>
      </c>
      <c r="C29" s="44"/>
      <c r="D29" s="44"/>
      <c r="E29" s="44"/>
      <c r="F29" s="44"/>
    </row>
  </sheetData>
  <mergeCells count="13">
    <mergeCell ref="A1:F1"/>
    <mergeCell ref="A2:F2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2026-10-02T16:54:19Z</dcterms:created>
  <dc:creator>openpyxl</dc:creator>
  <dc:description/>
  <dc:language>en-US</dc:language>
  <cp:lastModifiedBy/>
  <dcterms:modified xsi:type="dcterms:W3CDTF">2026-10-02T16:54:19Z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